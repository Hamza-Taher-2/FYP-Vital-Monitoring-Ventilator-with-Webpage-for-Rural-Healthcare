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iversityofliverpool.sharepoint.com/sites/Y3Project-O365-Team/Shared Documents/General/Poster &amp; Bench Inspection/"/>
    </mc:Choice>
  </mc:AlternateContent>
  <xr:revisionPtr revIDLastSave="865" documentId="13_ncr:1_{B26A04C8-8D1B-48A2-8C05-EE402DA89454}" xr6:coauthVersionLast="47" xr6:coauthVersionMax="47" xr10:uidLastSave="{C577B24D-6CAA-464D-BC73-0F279FF49BDA}"/>
  <bookViews>
    <workbookView xWindow="-120" yWindow="-120" windowWidth="29040" windowHeight="15720" xr2:uid="{6390935B-795C-468A-ADD6-30C8AB9C3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23" i="1"/>
</calcChain>
</file>

<file path=xl/sharedStrings.xml><?xml version="1.0" encoding="utf-8"?>
<sst xmlns="http://schemas.openxmlformats.org/spreadsheetml/2006/main" count="59" uniqueCount="25">
  <si>
    <t>Type</t>
  </si>
  <si>
    <t>Size</t>
  </si>
  <si>
    <t>Wearables</t>
  </si>
  <si>
    <t>Surgical Robots</t>
  </si>
  <si>
    <t>AI</t>
  </si>
  <si>
    <t>Other</t>
  </si>
  <si>
    <t>Test Number</t>
  </si>
  <si>
    <t>Result</t>
  </si>
  <si>
    <t>Pass</t>
  </si>
  <si>
    <t>Fail</t>
  </si>
  <si>
    <t>time</t>
  </si>
  <si>
    <t>wax melt</t>
  </si>
  <si>
    <t>bag</t>
  </si>
  <si>
    <t>tea</t>
  </si>
  <si>
    <t>flowrs</t>
  </si>
  <si>
    <t>choc</t>
  </si>
  <si>
    <t>Sensor</t>
  </si>
  <si>
    <t>Control</t>
  </si>
  <si>
    <t>Monitoring Tech</t>
  </si>
  <si>
    <t>Oscilation Time</t>
  </si>
  <si>
    <t>Oscilation Angle</t>
  </si>
  <si>
    <t>(Pot %)</t>
  </si>
  <si>
    <t>Full Osc (Sec)</t>
  </si>
  <si>
    <t>(Pot Degree)</t>
  </si>
  <si>
    <t>Pot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</si>
</sst>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4D5E0"/>
        <bgColor indexed="64"/>
      </patternFill>
    </fill>
    <fill>
      <patternFill patternType="solid">
        <fgColor rgb="FFC774B2"/>
        <bgColor indexed="64"/>
      </patternFill>
    </fill>
    <fill>
      <patternFill patternType="solid">
        <fgColor rgb="FFA346A8"/>
        <bgColor indexed="64"/>
      </patternFill>
    </fill>
    <fill>
      <patternFill patternType="solid">
        <fgColor rgb="FF420D4A"/>
        <bgColor indexed="64"/>
      </patternFill>
    </fill>
    <fill>
      <patternFill patternType="solid">
        <fgColor rgb="FF87175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9" borderId="0" xfId="0" applyFill="1"/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/>
    <xf numFmtId="0" fontId="0" fillId="10" borderId="0" xfId="0" applyFill="1"/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10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8" borderId="1" xfId="0" applyFill="1" applyBorder="1"/>
    <xf numFmtId="0" fontId="0" fillId="16" borderId="1" xfId="0" applyFill="1" applyBorder="1"/>
    <xf numFmtId="0" fontId="0" fillId="7" borderId="1" xfId="0" applyFill="1" applyBorder="1"/>
    <xf numFmtId="0" fontId="0" fillId="10" borderId="2" xfId="0" applyFill="1" applyBorder="1"/>
    <xf numFmtId="9" fontId="0" fillId="10" borderId="3" xfId="0" applyNumberFormat="1" applyFill="1" applyBorder="1"/>
    <xf numFmtId="9" fontId="0" fillId="8" borderId="1" xfId="0" applyNumberFormat="1" applyFill="1" applyBorder="1"/>
    <xf numFmtId="0" fontId="0" fillId="17" borderId="2" xfId="0" applyFill="1" applyBorder="1"/>
    <xf numFmtId="0" fontId="0" fillId="17" borderId="3" xfId="0" applyFill="1" applyBorder="1"/>
    <xf numFmtId="0" fontId="0" fillId="10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4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10" borderId="3" xfId="0" applyNumberForma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14" borderId="3" xfId="0" applyNumberForma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8" borderId="1" xfId="0" applyNumberForma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6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71575"/>
      <color rgb="FF621143"/>
      <color rgb="FFF4D5E0"/>
      <color rgb="FFA346A8"/>
      <color rgb="FFC774B2"/>
      <color rgb="FFFF3399"/>
      <color rgb="FF87175C"/>
      <color rgb="FF420D4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Rate Calibration Comparison</a:t>
            </a:r>
          </a:p>
        </c:rich>
      </c:tx>
      <c:layout>
        <c:manualLayout>
          <c:xMode val="edge"/>
          <c:yMode val="edge"/>
          <c:x val="0.23418045017406647"/>
          <c:y val="7.2348842190654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31529443624765"/>
          <c:y val="0.16557733056060561"/>
          <c:w val="0.8528491659779438"/>
          <c:h val="0.60722420709407732"/>
        </c:manualLayout>
      </c:layout>
      <c:lineChart>
        <c:grouping val="standard"/>
        <c:varyColors val="0"/>
        <c:ser>
          <c:idx val="0"/>
          <c:order val="0"/>
          <c:tx>
            <c:v>Control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Sheet1!$K$45:$K$74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cat>
          <c:val>
            <c:numRef>
              <c:f>Sheet1!$L$45:$L$74</c:f>
              <c:numCache>
                <c:formatCode>General</c:formatCode>
                <c:ptCount val="30"/>
                <c:pt idx="0">
                  <c:v>80</c:v>
                </c:pt>
                <c:pt idx="1">
                  <c:v>80</c:v>
                </c:pt>
                <c:pt idx="2">
                  <c:v>81</c:v>
                </c:pt>
                <c:pt idx="3">
                  <c:v>82</c:v>
                </c:pt>
                <c:pt idx="4">
                  <c:v>82</c:v>
                </c:pt>
                <c:pt idx="5">
                  <c:v>83</c:v>
                </c:pt>
                <c:pt idx="6">
                  <c:v>83</c:v>
                </c:pt>
                <c:pt idx="7">
                  <c:v>82</c:v>
                </c:pt>
                <c:pt idx="8">
                  <c:v>84</c:v>
                </c:pt>
                <c:pt idx="9">
                  <c:v>84</c:v>
                </c:pt>
                <c:pt idx="10">
                  <c:v>83</c:v>
                </c:pt>
                <c:pt idx="11">
                  <c:v>82</c:v>
                </c:pt>
                <c:pt idx="12">
                  <c:v>82</c:v>
                </c:pt>
                <c:pt idx="13">
                  <c:v>84</c:v>
                </c:pt>
                <c:pt idx="14">
                  <c:v>83</c:v>
                </c:pt>
                <c:pt idx="15">
                  <c:v>83</c:v>
                </c:pt>
                <c:pt idx="16">
                  <c:v>84</c:v>
                </c:pt>
                <c:pt idx="17">
                  <c:v>85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85</c:v>
                </c:pt>
                <c:pt idx="22">
                  <c:v>83</c:v>
                </c:pt>
                <c:pt idx="23">
                  <c:v>84</c:v>
                </c:pt>
                <c:pt idx="24">
                  <c:v>83</c:v>
                </c:pt>
                <c:pt idx="25">
                  <c:v>83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3-4E13-BD87-5B05EA97F368}"/>
            </c:ext>
          </c:extLst>
        </c:ser>
        <c:ser>
          <c:idx val="1"/>
          <c:order val="1"/>
          <c:tx>
            <c:v>Sensor</c:v>
          </c:tx>
          <c:spPr>
            <a:ln w="28575" cap="rnd">
              <a:solidFill>
                <a:srgbClr val="C774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774B2"/>
              </a:solidFill>
              <a:ln w="9525">
                <a:solidFill>
                  <a:srgbClr val="C774B2"/>
                </a:solidFill>
              </a:ln>
              <a:effectLst/>
            </c:spPr>
          </c:marker>
          <c:cat>
            <c:numRef>
              <c:f>Sheet1!$K$45:$K$74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cat>
          <c:val>
            <c:numRef>
              <c:f>Sheet1!$M$45:$M$74</c:f>
              <c:numCache>
                <c:formatCode>General</c:formatCode>
                <c:ptCount val="30"/>
                <c:pt idx="0">
                  <c:v>80</c:v>
                </c:pt>
                <c:pt idx="1">
                  <c:v>80</c:v>
                </c:pt>
                <c:pt idx="2">
                  <c:v>81</c:v>
                </c:pt>
                <c:pt idx="3">
                  <c:v>82</c:v>
                </c:pt>
                <c:pt idx="4">
                  <c:v>82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82</c:v>
                </c:pt>
                <c:pt idx="12">
                  <c:v>82</c:v>
                </c:pt>
                <c:pt idx="13">
                  <c:v>84</c:v>
                </c:pt>
                <c:pt idx="14">
                  <c:v>84</c:v>
                </c:pt>
                <c:pt idx="15">
                  <c:v>83</c:v>
                </c:pt>
                <c:pt idx="16">
                  <c:v>84</c:v>
                </c:pt>
                <c:pt idx="17">
                  <c:v>85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85</c:v>
                </c:pt>
                <c:pt idx="22">
                  <c:v>82</c:v>
                </c:pt>
                <c:pt idx="23">
                  <c:v>84</c:v>
                </c:pt>
                <c:pt idx="24">
                  <c:v>83</c:v>
                </c:pt>
                <c:pt idx="25">
                  <c:v>85</c:v>
                </c:pt>
                <c:pt idx="26">
                  <c:v>82</c:v>
                </c:pt>
                <c:pt idx="27">
                  <c:v>80</c:v>
                </c:pt>
                <c:pt idx="28">
                  <c:v>81</c:v>
                </c:pt>
                <c:pt idx="2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03-4E13-BD87-5B05EA97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127888"/>
        <c:axId val="1345133648"/>
      </c:lineChart>
      <c:catAx>
        <c:axId val="134512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layout>
            <c:manualLayout>
              <c:xMode val="edge"/>
              <c:yMode val="edge"/>
              <c:x val="0.43918281277994414"/>
              <c:y val="0.8566631937267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33648"/>
        <c:crosses val="autoZero"/>
        <c:auto val="1"/>
        <c:lblAlgn val="ctr"/>
        <c:lblOffset val="100"/>
        <c:tickLblSkip val="1"/>
        <c:noMultiLvlLbl val="0"/>
      </c:catAx>
      <c:valAx>
        <c:axId val="1345133648"/>
        <c:scaling>
          <c:orientation val="minMax"/>
          <c:min val="7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Heart</a:t>
                </a:r>
                <a:r>
                  <a:rPr lang="en-GB" baseline="0"/>
                  <a:t> Rate (BPM)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2788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247184767899714"/>
          <c:y val="0.90213831861903537"/>
          <c:w val="0.3340765787069418"/>
          <c:h val="8.139301714040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Blood Oxygen Calibration Comparison</a:t>
            </a:r>
          </a:p>
        </c:rich>
      </c:tx>
      <c:layout>
        <c:manualLayout>
          <c:xMode val="edge"/>
          <c:yMode val="edge"/>
          <c:x val="0.22282633420822395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7884671023836"/>
          <c:y val="0.16571462746636317"/>
          <c:w val="0.8333623893706833"/>
          <c:h val="0.61000353562627196"/>
        </c:manualLayout>
      </c:layout>
      <c:lineChart>
        <c:grouping val="standard"/>
        <c:varyColors val="0"/>
        <c:ser>
          <c:idx val="0"/>
          <c:order val="0"/>
          <c:tx>
            <c:strRef>
              <c:f>Sheet1!$L$85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Sheet1!$K$86:$K$115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cat>
          <c:val>
            <c:numRef>
              <c:f>Sheet1!$L$86:$L$115</c:f>
              <c:numCache>
                <c:formatCode>General</c:formatCode>
                <c:ptCount val="30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96</c:v>
                </c:pt>
                <c:pt idx="13">
                  <c:v>96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96</c:v>
                </c:pt>
                <c:pt idx="19">
                  <c:v>96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97</c:v>
                </c:pt>
                <c:pt idx="26">
                  <c:v>98</c:v>
                </c:pt>
                <c:pt idx="27">
                  <c:v>98</c:v>
                </c:pt>
                <c:pt idx="28">
                  <c:v>98</c:v>
                </c:pt>
                <c:pt idx="2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B-4B53-BF19-EEDF3F8B56A5}"/>
            </c:ext>
          </c:extLst>
        </c:ser>
        <c:ser>
          <c:idx val="1"/>
          <c:order val="1"/>
          <c:tx>
            <c:strRef>
              <c:f>Sheet1!$M$85</c:f>
              <c:strCache>
                <c:ptCount val="1"/>
                <c:pt idx="0">
                  <c:v>Sensor</c:v>
                </c:pt>
              </c:strCache>
            </c:strRef>
          </c:tx>
          <c:spPr>
            <a:ln w="28575" cap="rnd">
              <a:solidFill>
                <a:srgbClr val="C774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774B2"/>
              </a:solidFill>
              <a:ln w="9525">
                <a:solidFill>
                  <a:srgbClr val="C774B2"/>
                </a:solidFill>
              </a:ln>
              <a:effectLst/>
            </c:spPr>
          </c:marker>
          <c:cat>
            <c:numRef>
              <c:f>Sheet1!$K$86:$K$115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cat>
          <c:val>
            <c:numRef>
              <c:f>Sheet1!$M$86:$M$115</c:f>
              <c:numCache>
                <c:formatCode>General</c:formatCode>
                <c:ptCount val="30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95</c:v>
                </c:pt>
                <c:pt idx="8">
                  <c:v>95</c:v>
                </c:pt>
                <c:pt idx="9">
                  <c:v>96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96</c:v>
                </c:pt>
                <c:pt idx="19">
                  <c:v>96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97</c:v>
                </c:pt>
                <c:pt idx="26">
                  <c:v>97</c:v>
                </c:pt>
                <c:pt idx="27">
                  <c:v>97</c:v>
                </c:pt>
                <c:pt idx="28">
                  <c:v>98</c:v>
                </c:pt>
                <c:pt idx="2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B-4B53-BF19-EEDF3F8B5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279200"/>
        <c:axId val="693276800"/>
      </c:lineChart>
      <c:catAx>
        <c:axId val="693279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76800"/>
        <c:crosses val="autoZero"/>
        <c:auto val="1"/>
        <c:lblAlgn val="ctr"/>
        <c:lblOffset val="100"/>
        <c:noMultiLvlLbl val="0"/>
      </c:catAx>
      <c:valAx>
        <c:axId val="693276800"/>
        <c:scaling>
          <c:orientation val="minMax"/>
          <c:max val="99"/>
          <c:min val="9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Blood Oxygen (SPo2)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79200"/>
        <c:crosses val="autoZero"/>
        <c:crossBetween val="between"/>
        <c:majorUnit val="0.5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630228335117917"/>
          <c:y val="0.90986580451328847"/>
          <c:w val="0.31369207029830043"/>
          <c:h val="6.72232374578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Temperature Calibration</a:t>
            </a:r>
            <a:r>
              <a:rPr lang="en-GB" baseline="0"/>
              <a:t> Comparsion</a:t>
            </a:r>
            <a:endParaRPr lang="en-GB"/>
          </a:p>
        </c:rich>
      </c:tx>
      <c:layout>
        <c:manualLayout>
          <c:xMode val="edge"/>
          <c:yMode val="edge"/>
          <c:x val="0.23163888888888889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3641582556847667"/>
          <c:y val="0.16571451086843716"/>
          <c:w val="0.81681378917985858"/>
          <c:h val="0.6189396154156011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Sheet1!$L$129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Sheet1!$K$130:$K$159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xVal>
          <c:yVal>
            <c:numRef>
              <c:f>Sheet1!$L$130:$L$159</c:f>
              <c:numCache>
                <c:formatCode>General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4-435E-883F-7B0AE994E6ED}"/>
            </c:ext>
          </c:extLst>
        </c:ser>
        <c:ser>
          <c:idx val="1"/>
          <c:order val="1"/>
          <c:tx>
            <c:strRef>
              <c:f>Sheet1!$M$129</c:f>
              <c:strCache>
                <c:ptCount val="1"/>
                <c:pt idx="0">
                  <c:v>Sensor</c:v>
                </c:pt>
              </c:strCache>
            </c:strRef>
          </c:tx>
          <c:spPr>
            <a:ln w="19050" cap="rnd">
              <a:solidFill>
                <a:srgbClr val="C774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774B2"/>
              </a:solidFill>
              <a:ln w="9525">
                <a:solidFill>
                  <a:srgbClr val="C774B2"/>
                </a:solidFill>
              </a:ln>
              <a:effectLst/>
            </c:spPr>
          </c:marker>
          <c:xVal>
            <c:numRef>
              <c:f>Sheet1!$K$130:$K$159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xVal>
          <c:yVal>
            <c:numRef>
              <c:f>Sheet1!$M$130:$M$159</c:f>
              <c:numCache>
                <c:formatCode>General</c:formatCode>
                <c:ptCount val="30"/>
                <c:pt idx="0">
                  <c:v>28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32</c:v>
                </c:pt>
                <c:pt idx="25">
                  <c:v>32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4-435E-883F-7B0AE994E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174944"/>
        <c:axId val="1219175904"/>
      </c:scatterChart>
      <c:valAx>
        <c:axId val="12191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75904"/>
        <c:crosses val="autoZero"/>
        <c:crossBetween val="midCat"/>
      </c:valAx>
      <c:valAx>
        <c:axId val="12191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</a:t>
                </a:r>
                <a:r>
                  <a:rPr lang="en-GB" sz="1000" b="0" i="0" u="none" strike="noStrike" baseline="0">
                    <a:effectLst/>
                  </a:rPr>
                  <a:t>°C)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7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007329496216346"/>
          <c:y val="0.91880167331750917"/>
          <c:w val="0.31953907530187259"/>
          <c:h val="6.6869623361091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 Pressure Calibration Comparsion</a:t>
            </a:r>
          </a:p>
        </c:rich>
      </c:tx>
      <c:layout>
        <c:manualLayout>
          <c:xMode val="edge"/>
          <c:yMode val="edge"/>
          <c:x val="0.25963207241173664"/>
          <c:y val="7.1960203740868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4480092913338"/>
          <c:y val="0.16681274729680007"/>
          <c:w val="0.82906608164454632"/>
          <c:h val="0.61641422163105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Sheet1!$L$167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tx2">
                    <a:lumMod val="50000"/>
                    <a:lumOff val="50000"/>
                  </a:schemeClr>
                </a:solidFill>
                <a:ln w="95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B74-4989-9D39-8EFF5CCD981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tx2">
                    <a:lumMod val="50000"/>
                    <a:lumOff val="50000"/>
                  </a:schemeClr>
                </a:solidFill>
                <a:ln w="95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B74-4989-9D39-8EFF5CCD981E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tx2">
                    <a:lumMod val="50000"/>
                    <a:lumOff val="50000"/>
                  </a:schemeClr>
                </a:solidFill>
                <a:ln w="95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B74-4989-9D39-8EFF5CCD981E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tx2">
                    <a:lumMod val="50000"/>
                    <a:lumOff val="50000"/>
                  </a:schemeClr>
                </a:solidFill>
                <a:ln w="95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B74-4989-9D39-8EFF5CCD981E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tx2">
                    <a:lumMod val="50000"/>
                    <a:lumOff val="50000"/>
                  </a:schemeClr>
                </a:solidFill>
                <a:ln w="95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B74-4989-9D39-8EFF5CCD981E}"/>
              </c:ext>
            </c:extLst>
          </c:dPt>
          <c:xVal>
            <c:numRef>
              <c:f>Sheet1!$K$168:$K$197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xVal>
          <c:yVal>
            <c:numRef>
              <c:f>Sheet1!$L$168:$L$197</c:f>
              <c:numCache>
                <c:formatCode>General</c:formatCode>
                <c:ptCount val="30"/>
                <c:pt idx="0">
                  <c:v>0.2</c:v>
                </c:pt>
                <c:pt idx="1">
                  <c:v>9</c:v>
                </c:pt>
                <c:pt idx="2">
                  <c:v>0.4</c:v>
                </c:pt>
                <c:pt idx="3">
                  <c:v>8.3000000000000007</c:v>
                </c:pt>
                <c:pt idx="4">
                  <c:v>0.3</c:v>
                </c:pt>
                <c:pt idx="5">
                  <c:v>7.8</c:v>
                </c:pt>
                <c:pt idx="6">
                  <c:v>0.1</c:v>
                </c:pt>
                <c:pt idx="7">
                  <c:v>8.6999999999999993</c:v>
                </c:pt>
                <c:pt idx="8">
                  <c:v>0.3</c:v>
                </c:pt>
                <c:pt idx="9">
                  <c:v>9.1999999999999993</c:v>
                </c:pt>
                <c:pt idx="10">
                  <c:v>0.1</c:v>
                </c:pt>
                <c:pt idx="11">
                  <c:v>10.3</c:v>
                </c:pt>
                <c:pt idx="12">
                  <c:v>0.1</c:v>
                </c:pt>
                <c:pt idx="13">
                  <c:v>8.4</c:v>
                </c:pt>
                <c:pt idx="14">
                  <c:v>0.2</c:v>
                </c:pt>
                <c:pt idx="15">
                  <c:v>7.6</c:v>
                </c:pt>
                <c:pt idx="16">
                  <c:v>0.2</c:v>
                </c:pt>
                <c:pt idx="17">
                  <c:v>8.9</c:v>
                </c:pt>
                <c:pt idx="18">
                  <c:v>0.2</c:v>
                </c:pt>
                <c:pt idx="19">
                  <c:v>9.1999999999999993</c:v>
                </c:pt>
                <c:pt idx="20">
                  <c:v>0.3</c:v>
                </c:pt>
                <c:pt idx="21">
                  <c:v>8.6</c:v>
                </c:pt>
                <c:pt idx="22">
                  <c:v>0.3</c:v>
                </c:pt>
                <c:pt idx="23">
                  <c:v>7.9</c:v>
                </c:pt>
                <c:pt idx="24">
                  <c:v>0.3</c:v>
                </c:pt>
                <c:pt idx="25">
                  <c:v>8.6999999999999993</c:v>
                </c:pt>
                <c:pt idx="26">
                  <c:v>0.3</c:v>
                </c:pt>
                <c:pt idx="27">
                  <c:v>11.2</c:v>
                </c:pt>
                <c:pt idx="28">
                  <c:v>0.1</c:v>
                </c:pt>
                <c:pt idx="29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4-4989-9D39-8EFF5CCD981E}"/>
            </c:ext>
          </c:extLst>
        </c:ser>
        <c:ser>
          <c:idx val="1"/>
          <c:order val="1"/>
          <c:tx>
            <c:strRef>
              <c:f>Sheet1!$M$167</c:f>
              <c:strCache>
                <c:ptCount val="1"/>
                <c:pt idx="0">
                  <c:v>Sensor</c:v>
                </c:pt>
              </c:strCache>
            </c:strRef>
          </c:tx>
          <c:spPr>
            <a:ln w="19050" cap="rnd">
              <a:solidFill>
                <a:srgbClr val="C774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774B2"/>
              </a:solidFill>
              <a:ln w="9525">
                <a:solidFill>
                  <a:srgbClr val="C774B2"/>
                </a:solidFill>
              </a:ln>
              <a:effectLst/>
            </c:spPr>
          </c:marker>
          <c:xVal>
            <c:numRef>
              <c:f>Sheet1!$K$168:$K$197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xVal>
          <c:yVal>
            <c:numRef>
              <c:f>Sheet1!$M$168:$M$197</c:f>
              <c:numCache>
                <c:formatCode>General</c:formatCode>
                <c:ptCount val="30"/>
                <c:pt idx="0">
                  <c:v>0.2</c:v>
                </c:pt>
                <c:pt idx="1">
                  <c:v>9</c:v>
                </c:pt>
                <c:pt idx="2">
                  <c:v>0.4</c:v>
                </c:pt>
                <c:pt idx="3">
                  <c:v>6.2</c:v>
                </c:pt>
                <c:pt idx="4">
                  <c:v>0.3</c:v>
                </c:pt>
                <c:pt idx="5">
                  <c:v>7.8</c:v>
                </c:pt>
                <c:pt idx="6">
                  <c:v>1.2</c:v>
                </c:pt>
                <c:pt idx="7">
                  <c:v>8.6999999999999993</c:v>
                </c:pt>
                <c:pt idx="8">
                  <c:v>0.3</c:v>
                </c:pt>
                <c:pt idx="9">
                  <c:v>10.199999999999999</c:v>
                </c:pt>
                <c:pt idx="10">
                  <c:v>0.1</c:v>
                </c:pt>
                <c:pt idx="11">
                  <c:v>10.3</c:v>
                </c:pt>
                <c:pt idx="12">
                  <c:v>0.6</c:v>
                </c:pt>
                <c:pt idx="13">
                  <c:v>8.4</c:v>
                </c:pt>
                <c:pt idx="14">
                  <c:v>0.2</c:v>
                </c:pt>
                <c:pt idx="15">
                  <c:v>7.6</c:v>
                </c:pt>
                <c:pt idx="16">
                  <c:v>2</c:v>
                </c:pt>
                <c:pt idx="17">
                  <c:v>8.9</c:v>
                </c:pt>
                <c:pt idx="18">
                  <c:v>0.9</c:v>
                </c:pt>
                <c:pt idx="19">
                  <c:v>9.1999999999999993</c:v>
                </c:pt>
                <c:pt idx="20">
                  <c:v>0.3</c:v>
                </c:pt>
                <c:pt idx="21">
                  <c:v>8.6</c:v>
                </c:pt>
                <c:pt idx="22">
                  <c:v>0.2</c:v>
                </c:pt>
                <c:pt idx="23">
                  <c:v>7.9</c:v>
                </c:pt>
                <c:pt idx="24">
                  <c:v>0.3</c:v>
                </c:pt>
                <c:pt idx="25">
                  <c:v>6.1</c:v>
                </c:pt>
                <c:pt idx="26">
                  <c:v>0.3</c:v>
                </c:pt>
                <c:pt idx="27">
                  <c:v>9.5</c:v>
                </c:pt>
                <c:pt idx="28">
                  <c:v>0.1</c:v>
                </c:pt>
                <c:pt idx="29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4-4989-9D39-8EFF5CCD9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921584"/>
        <c:axId val="1141915824"/>
      </c:scatterChart>
      <c:valAx>
        <c:axId val="11419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15824"/>
        <c:crosses val="autoZero"/>
        <c:crossBetween val="midCat"/>
      </c:valAx>
      <c:valAx>
        <c:axId val="11419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2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9336838465394"/>
          <c:y val="0.91960642868095743"/>
          <c:w val="0.31369194101255921"/>
          <c:h val="6.7084884224312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GB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Medical </a:t>
            </a:r>
          </a:p>
          <a:p>
            <a:pPr>
              <a:defRPr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GB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Technology </a:t>
            </a:r>
          </a:p>
          <a:p>
            <a:pPr>
              <a:defRPr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GB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Market</a:t>
            </a:r>
            <a:r>
              <a:rPr lang="en-GB" sz="18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Data</a:t>
            </a:r>
            <a:endParaRPr lang="en-GB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73383573457108642"/>
          <c:y val="0.16382974606389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51465591241881"/>
          <c:y val="0.13890872122994363"/>
          <c:w val="0.62017582656238979"/>
          <c:h val="0.776419283088572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774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E3-4062-9498-1AFEDDBC08E4}"/>
              </c:ext>
            </c:extLst>
          </c:dPt>
          <c:dPt>
            <c:idx val="1"/>
            <c:bubble3D val="0"/>
            <c:spPr>
              <a:solidFill>
                <a:srgbClr val="A34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DE3-4062-9498-1AFEDDBC08E4}"/>
              </c:ext>
            </c:extLst>
          </c:dPt>
          <c:dPt>
            <c:idx val="2"/>
            <c:bubble3D val="0"/>
            <c:spPr>
              <a:solidFill>
                <a:srgbClr val="F4D5E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E3-4062-9498-1AFEDDBC08E4}"/>
              </c:ext>
            </c:extLst>
          </c:dPt>
          <c:dPt>
            <c:idx val="3"/>
            <c:bubble3D val="0"/>
            <c:spPr>
              <a:solidFill>
                <a:srgbClr val="6211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DE3-4062-9498-1AFEDDBC08E4}"/>
              </c:ext>
            </c:extLst>
          </c:dPt>
          <c:dPt>
            <c:idx val="4"/>
            <c:bubble3D val="0"/>
            <c:spPr>
              <a:solidFill>
                <a:srgbClr val="6715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E3-4062-9498-1AFEDDBC08E4}"/>
              </c:ext>
            </c:extLst>
          </c:dPt>
          <c:dLbls>
            <c:dLbl>
              <c:idx val="0"/>
              <c:layout>
                <c:manualLayout>
                  <c:x val="-2.6298289291486247E-2"/>
                  <c:y val="-1.798902211701571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E3-4062-9498-1AFEDDBC08E4}"/>
                </c:ext>
              </c:extLst>
            </c:dLbl>
            <c:dLbl>
              <c:idx val="1"/>
              <c:layout>
                <c:manualLayout>
                  <c:x val="-2.378925542210502E-2"/>
                  <c:y val="1.6437799521410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E3-4062-9498-1AFEDDBC08E4}"/>
                </c:ext>
              </c:extLst>
            </c:dLbl>
            <c:dLbl>
              <c:idx val="2"/>
              <c:layout>
                <c:manualLayout>
                  <c:x val="-9.7910776520420628E-2"/>
                  <c:y val="-8.95839111449377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E3-4062-9498-1AFEDDBC08E4}"/>
                </c:ext>
              </c:extLst>
            </c:dLbl>
            <c:dLbl>
              <c:idx val="3"/>
              <c:layout>
                <c:manualLayout>
                  <c:x val="5.8414398390667394E-2"/>
                  <c:y val="0.134962815807635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E3-4062-9498-1AFEDDBC08E4}"/>
                </c:ext>
              </c:extLst>
            </c:dLbl>
            <c:dLbl>
              <c:idx val="4"/>
              <c:layout>
                <c:manualLayout>
                  <c:x val="4.1085380072461188E-3"/>
                  <c:y val="2.31559602621077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E3-4062-9498-1AFEDDBC08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Sheet1!$C$11:$C$15</c:f>
              <c:strCache>
                <c:ptCount val="5"/>
                <c:pt idx="0">
                  <c:v>Monitoring Tech</c:v>
                </c:pt>
                <c:pt idx="1">
                  <c:v>Wearables</c:v>
                </c:pt>
                <c:pt idx="2">
                  <c:v>Surgical Robots</c:v>
                </c:pt>
                <c:pt idx="3">
                  <c:v>AI</c:v>
                </c:pt>
                <c:pt idx="4">
                  <c:v>Other</c:v>
                </c:pt>
              </c:strCache>
            </c:strRef>
          </c:cat>
          <c:val>
            <c:numRef>
              <c:f>Sheet1!$D$11:$D$15</c:f>
              <c:numCache>
                <c:formatCode>General</c:formatCode>
                <c:ptCount val="5"/>
                <c:pt idx="0">
                  <c:v>25</c:v>
                </c:pt>
                <c:pt idx="1">
                  <c:v>21</c:v>
                </c:pt>
                <c:pt idx="2">
                  <c:v>18</c:v>
                </c:pt>
                <c:pt idx="3">
                  <c:v>16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3-4062-9498-1AFEDDBC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90802930469127"/>
          <c:y val="0.44904334244435767"/>
          <c:w val="0.25919239308170866"/>
          <c:h val="0.415482059848961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Humdity Calibration</a:t>
            </a:r>
            <a:r>
              <a:rPr lang="en-GB" baseline="0"/>
              <a:t> Test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75822372469702"/>
          <c:y val="0.14797252171793296"/>
          <c:w val="0.83594151288636531"/>
          <c:h val="0.64776864613418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Sheet1!$L$205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Sheet1!$K$206:$K$235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xVal>
          <c:yVal>
            <c:numRef>
              <c:f>Sheet1!$L$206:$L$235</c:f>
              <c:numCache>
                <c:formatCode>General</c:formatCode>
                <c:ptCount val="30"/>
                <c:pt idx="0">
                  <c:v>42</c:v>
                </c:pt>
                <c:pt idx="1">
                  <c:v>42</c:v>
                </c:pt>
                <c:pt idx="2">
                  <c:v>43</c:v>
                </c:pt>
                <c:pt idx="3">
                  <c:v>43</c:v>
                </c:pt>
                <c:pt idx="4">
                  <c:v>44</c:v>
                </c:pt>
                <c:pt idx="5">
                  <c:v>43</c:v>
                </c:pt>
                <c:pt idx="6">
                  <c:v>45</c:v>
                </c:pt>
                <c:pt idx="7">
                  <c:v>44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47</c:v>
                </c:pt>
                <c:pt idx="15">
                  <c:v>48</c:v>
                </c:pt>
                <c:pt idx="16">
                  <c:v>48</c:v>
                </c:pt>
                <c:pt idx="17">
                  <c:v>49</c:v>
                </c:pt>
                <c:pt idx="18">
                  <c:v>49</c:v>
                </c:pt>
                <c:pt idx="19">
                  <c:v>48</c:v>
                </c:pt>
                <c:pt idx="20">
                  <c:v>47</c:v>
                </c:pt>
                <c:pt idx="21">
                  <c:v>47</c:v>
                </c:pt>
                <c:pt idx="22">
                  <c:v>48</c:v>
                </c:pt>
                <c:pt idx="23">
                  <c:v>47</c:v>
                </c:pt>
                <c:pt idx="24">
                  <c:v>47</c:v>
                </c:pt>
                <c:pt idx="25">
                  <c:v>44</c:v>
                </c:pt>
                <c:pt idx="26">
                  <c:v>46</c:v>
                </c:pt>
                <c:pt idx="27">
                  <c:v>46</c:v>
                </c:pt>
                <c:pt idx="28">
                  <c:v>45</c:v>
                </c:pt>
                <c:pt idx="2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5-4AD5-8FDF-2D6025BCABE7}"/>
            </c:ext>
          </c:extLst>
        </c:ser>
        <c:ser>
          <c:idx val="1"/>
          <c:order val="1"/>
          <c:tx>
            <c:strRef>
              <c:f>Sheet1!$M$205</c:f>
              <c:strCache>
                <c:ptCount val="1"/>
                <c:pt idx="0">
                  <c:v>Sensor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Sheet1!$K$206:$K$235</c:f>
              <c:numCache>
                <c:formatCode>General</c:formatCode>
                <c:ptCount val="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</c:numCache>
            </c:numRef>
          </c:xVal>
          <c:yVal>
            <c:numRef>
              <c:f>Sheet1!$M$206:$M$235</c:f>
              <c:numCache>
                <c:formatCode>General</c:formatCode>
                <c:ptCount val="30"/>
                <c:pt idx="0">
                  <c:v>42</c:v>
                </c:pt>
                <c:pt idx="1">
                  <c:v>42</c:v>
                </c:pt>
                <c:pt idx="2">
                  <c:v>43</c:v>
                </c:pt>
                <c:pt idx="3">
                  <c:v>43</c:v>
                </c:pt>
                <c:pt idx="4">
                  <c:v>44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  <c:pt idx="12">
                  <c:v>45</c:v>
                </c:pt>
                <c:pt idx="13">
                  <c:v>48</c:v>
                </c:pt>
                <c:pt idx="14">
                  <c:v>47</c:v>
                </c:pt>
                <c:pt idx="15">
                  <c:v>49</c:v>
                </c:pt>
                <c:pt idx="16">
                  <c:v>48</c:v>
                </c:pt>
                <c:pt idx="17">
                  <c:v>49</c:v>
                </c:pt>
                <c:pt idx="18">
                  <c:v>49</c:v>
                </c:pt>
                <c:pt idx="19">
                  <c:v>48</c:v>
                </c:pt>
                <c:pt idx="20">
                  <c:v>47</c:v>
                </c:pt>
                <c:pt idx="21">
                  <c:v>47</c:v>
                </c:pt>
                <c:pt idx="22">
                  <c:v>48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46</c:v>
                </c:pt>
                <c:pt idx="27">
                  <c:v>46</c:v>
                </c:pt>
                <c:pt idx="28">
                  <c:v>45</c:v>
                </c:pt>
                <c:pt idx="2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5-4AD5-8FDF-2D6025BCA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611887"/>
        <c:axId val="1143613327"/>
      </c:scatterChart>
      <c:valAx>
        <c:axId val="114361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13327"/>
        <c:crosses val="autoZero"/>
        <c:crossBetween val="midCat"/>
      </c:valAx>
      <c:valAx>
        <c:axId val="11436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11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Oscilation Speed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4570946398153"/>
          <c:y val="0.20839118477588298"/>
          <c:w val="0.81036648793260768"/>
          <c:h val="0.597468399213581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Sheet1!$Q$9:$Q$10</c:f>
              <c:strCache>
                <c:ptCount val="2"/>
                <c:pt idx="0">
                  <c:v>Oscilation Time</c:v>
                </c:pt>
                <c:pt idx="1">
                  <c:v>Full Osc (Sec)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Sheet1!$P$11:$P$15</c:f>
              <c:numCache>
                <c:formatCode>0%</c:formatCode>
                <c:ptCount val="5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</c:numCache>
            </c:numRef>
          </c:cat>
          <c:val>
            <c:numRef>
              <c:f>Sheet1!$Q$11:$Q$15</c:f>
              <c:numCache>
                <c:formatCode>General</c:formatCode>
                <c:ptCount val="5"/>
                <c:pt idx="0">
                  <c:v>0.6</c:v>
                </c:pt>
                <c:pt idx="1">
                  <c:v>1.3</c:v>
                </c:pt>
                <c:pt idx="2">
                  <c:v>2.7</c:v>
                </c:pt>
                <c:pt idx="3">
                  <c:v>3.9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3-49E3-9907-E468E17AE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371231"/>
        <c:axId val="1961375551"/>
      </c:barChart>
      <c:catAx>
        <c:axId val="196137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Potentomer  Angle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75551"/>
        <c:crosses val="autoZero"/>
        <c:auto val="1"/>
        <c:lblAlgn val="ctr"/>
        <c:lblOffset val="100"/>
        <c:noMultiLvlLbl val="0"/>
      </c:catAx>
      <c:valAx>
        <c:axId val="19613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7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Oscilation</a:t>
            </a:r>
            <a:r>
              <a:rPr lang="en-US" baseline="0"/>
              <a:t> Angle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58092738407699"/>
          <c:y val="0.19486111111111112"/>
          <c:w val="0.77086351706036749"/>
          <c:h val="0.62866542723826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Sheet1!$T$9:$T$10</c:f>
              <c:strCache>
                <c:ptCount val="2"/>
                <c:pt idx="0">
                  <c:v>Oscilation Angle</c:v>
                </c:pt>
                <c:pt idx="1">
                  <c:v>(Pot Degree)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Sheet1!$S$11:$S$15</c:f>
              <c:numCache>
                <c:formatCode>0%</c:formatCode>
                <c:ptCount val="5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</c:numCache>
            </c:numRef>
          </c:cat>
          <c:val>
            <c:numRef>
              <c:f>Sheet1!$T$11:$T$15</c:f>
              <c:numCache>
                <c:formatCode>General</c:formatCode>
                <c:ptCount val="5"/>
                <c:pt idx="0">
                  <c:v>90</c:v>
                </c:pt>
                <c:pt idx="1">
                  <c:v>80</c:v>
                </c:pt>
                <c:pt idx="2">
                  <c:v>50</c:v>
                </c:pt>
                <c:pt idx="3">
                  <c:v>30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7-489F-AE09-A86244983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474943"/>
        <c:axId val="1974464863"/>
      </c:barChart>
      <c:catAx>
        <c:axId val="197447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Potentiometer</a:t>
                </a:r>
                <a:r>
                  <a:rPr lang="en-GB" baseline="0"/>
                  <a:t> Angle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64863"/>
        <c:crosses val="autoZero"/>
        <c:auto val="1"/>
        <c:lblAlgn val="ctr"/>
        <c:lblOffset val="100"/>
        <c:noMultiLvlLbl val="0"/>
      </c:catAx>
      <c:valAx>
        <c:axId val="19744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Oscilation Angle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7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21715</xdr:colOff>
      <xdr:row>42</xdr:row>
      <xdr:rowOff>172801</xdr:rowOff>
    </xdr:from>
    <xdr:to>
      <xdr:col>8</xdr:col>
      <xdr:colOff>6604</xdr:colOff>
      <xdr:row>61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1EFA7-9E67-93FD-6143-665C35F8B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10958</xdr:colOff>
      <xdr:row>83</xdr:row>
      <xdr:rowOff>166729</xdr:rowOff>
    </xdr:from>
    <xdr:to>
      <xdr:col>8</xdr:col>
      <xdr:colOff>8429</xdr:colOff>
      <xdr:row>101</xdr:row>
      <xdr:rowOff>168584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A87AD6-0D6C-868B-FF75-07005D1DA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</xdr:colOff>
      <xdr:row>127</xdr:row>
      <xdr:rowOff>175156</xdr:rowOff>
    </xdr:from>
    <xdr:to>
      <xdr:col>7</xdr:col>
      <xdr:colOff>674336</xdr:colOff>
      <xdr:row>146</xdr:row>
      <xdr:rowOff>16857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766FD9-9841-C7CE-8869-E8298601A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10956</xdr:colOff>
      <xdr:row>166</xdr:row>
      <xdr:rowOff>8427</xdr:rowOff>
    </xdr:from>
    <xdr:to>
      <xdr:col>8</xdr:col>
      <xdr:colOff>8429</xdr:colOff>
      <xdr:row>184</xdr:row>
      <xdr:rowOff>16858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9392CA-379C-306D-0727-C18979D10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53104</xdr:colOff>
      <xdr:row>15</xdr:row>
      <xdr:rowOff>65579</xdr:rowOff>
    </xdr:from>
    <xdr:to>
      <xdr:col>7</xdr:col>
      <xdr:colOff>244446</xdr:colOff>
      <xdr:row>38</xdr:row>
      <xdr:rowOff>25288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4B98B7-BAA0-C648-9EDD-17C6FE2F5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5415</xdr:colOff>
      <xdr:row>203</xdr:row>
      <xdr:rowOff>174985</xdr:rowOff>
    </xdr:from>
    <xdr:to>
      <xdr:col>8</xdr:col>
      <xdr:colOff>9819</xdr:colOff>
      <xdr:row>222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8F3C55-AB5C-6060-3919-7C6CE25C4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320275</xdr:colOff>
      <xdr:row>24</xdr:row>
      <xdr:rowOff>55594</xdr:rowOff>
    </xdr:from>
    <xdr:to>
      <xdr:col>18</xdr:col>
      <xdr:colOff>975518</xdr:colOff>
      <xdr:row>39</xdr:row>
      <xdr:rowOff>55595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356100-82DA-D449-4952-6B7E97958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143847</xdr:colOff>
      <xdr:row>25</xdr:row>
      <xdr:rowOff>154345</xdr:rowOff>
    </xdr:from>
    <xdr:to>
      <xdr:col>26</xdr:col>
      <xdr:colOff>235209</xdr:colOff>
      <xdr:row>40</xdr:row>
      <xdr:rowOff>127519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4C4FAD-1FDF-4B5D-F383-1B737697B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364B-1DD0-4CCA-B0EF-DF462F882572}">
  <dimension ref="C4:Y235"/>
  <sheetViews>
    <sheetView tabSelected="1" topLeftCell="A165" zoomScale="111" zoomScaleNormal="111" workbookViewId="0">
      <selection activeCell="S173" sqref="S173"/>
    </sheetView>
  </sheetViews>
  <sheetFormatPr defaultRowHeight="14.25" x14ac:dyDescent="0.2"/>
  <cols>
    <col min="3" max="3" width="15.5" customWidth="1"/>
    <col min="6" max="6" width="12.375" customWidth="1"/>
    <col min="16" max="16" width="12.375" customWidth="1"/>
    <col min="17" max="17" width="11.875" customWidth="1"/>
    <col min="19" max="20" width="12.875" customWidth="1"/>
    <col min="21" max="21" width="11.25" customWidth="1"/>
    <col min="23" max="23" width="11.375" customWidth="1"/>
  </cols>
  <sheetData>
    <row r="4" spans="3:24" x14ac:dyDescent="0.2">
      <c r="H4" s="1"/>
    </row>
    <row r="5" spans="3:24" x14ac:dyDescent="0.2">
      <c r="H5" s="2"/>
    </row>
    <row r="6" spans="3:24" x14ac:dyDescent="0.2">
      <c r="H6" s="3"/>
    </row>
    <row r="7" spans="3:24" x14ac:dyDescent="0.2">
      <c r="H7" s="5"/>
    </row>
    <row r="8" spans="3:24" x14ac:dyDescent="0.2">
      <c r="H8" s="4"/>
    </row>
    <row r="9" spans="3:24" x14ac:dyDescent="0.2">
      <c r="P9" s="22" t="s">
        <v>24</v>
      </c>
      <c r="Q9" s="25" t="s">
        <v>19</v>
      </c>
      <c r="S9" s="27" t="s">
        <v>24</v>
      </c>
      <c r="T9" s="28" t="s">
        <v>20</v>
      </c>
    </row>
    <row r="10" spans="3:24" x14ac:dyDescent="0.2">
      <c r="C10" s="15" t="s">
        <v>0</v>
      </c>
      <c r="D10" s="15" t="s">
        <v>1</v>
      </c>
      <c r="F10" s="11"/>
      <c r="G10" s="11"/>
      <c r="P10" s="23" t="s">
        <v>21</v>
      </c>
      <c r="Q10" s="26" t="s">
        <v>22</v>
      </c>
      <c r="S10" s="29" t="s">
        <v>21</v>
      </c>
      <c r="T10" s="30" t="s">
        <v>23</v>
      </c>
    </row>
    <row r="11" spans="3:24" x14ac:dyDescent="0.2">
      <c r="C11" s="15" t="s">
        <v>18</v>
      </c>
      <c r="D11" s="15">
        <v>25</v>
      </c>
      <c r="F11" s="11"/>
      <c r="G11" s="14"/>
      <c r="P11" s="24">
        <v>1</v>
      </c>
      <c r="Q11" s="20">
        <v>0.6</v>
      </c>
      <c r="S11" s="31">
        <v>1</v>
      </c>
      <c r="T11" s="32">
        <v>90</v>
      </c>
      <c r="U11" s="11"/>
      <c r="V11" s="11"/>
      <c r="W11" s="11"/>
      <c r="X11" s="11"/>
    </row>
    <row r="12" spans="3:24" x14ac:dyDescent="0.2">
      <c r="C12" s="15" t="s">
        <v>2</v>
      </c>
      <c r="D12" s="15">
        <v>21</v>
      </c>
      <c r="F12" s="11"/>
      <c r="G12" s="14"/>
      <c r="L12" s="11"/>
      <c r="M12" s="11"/>
      <c r="N12" s="11"/>
      <c r="P12" s="24">
        <v>0.75</v>
      </c>
      <c r="Q12" s="20">
        <v>1.3</v>
      </c>
      <c r="S12" s="31">
        <v>0.75</v>
      </c>
      <c r="T12" s="32">
        <v>80</v>
      </c>
      <c r="U12" s="11"/>
      <c r="V12" s="11"/>
      <c r="W12" s="11"/>
      <c r="X12" s="11"/>
    </row>
    <row r="13" spans="3:24" x14ac:dyDescent="0.2">
      <c r="C13" s="15" t="s">
        <v>3</v>
      </c>
      <c r="D13" s="15">
        <v>18</v>
      </c>
      <c r="F13" s="11"/>
      <c r="G13" s="14"/>
      <c r="L13" s="11"/>
      <c r="M13" s="11"/>
      <c r="N13" s="11"/>
      <c r="P13" s="24">
        <v>0.5</v>
      </c>
      <c r="Q13" s="20">
        <v>2.7</v>
      </c>
      <c r="S13" s="31">
        <v>0.5</v>
      </c>
      <c r="T13" s="32">
        <v>50</v>
      </c>
      <c r="U13" s="11"/>
      <c r="V13" s="11"/>
      <c r="W13" s="11"/>
      <c r="X13" s="11"/>
    </row>
    <row r="14" spans="3:24" x14ac:dyDescent="0.2">
      <c r="C14" s="15" t="s">
        <v>4</v>
      </c>
      <c r="D14" s="15">
        <v>16</v>
      </c>
      <c r="F14" s="11"/>
      <c r="G14" s="14"/>
      <c r="L14" s="11"/>
      <c r="M14" s="11"/>
      <c r="N14" s="11"/>
      <c r="P14" s="24">
        <v>0.25</v>
      </c>
      <c r="Q14" s="20">
        <v>3.9</v>
      </c>
      <c r="S14" s="31">
        <v>0.25</v>
      </c>
      <c r="T14" s="32">
        <v>30</v>
      </c>
      <c r="U14" s="11"/>
      <c r="V14" s="11"/>
      <c r="W14" s="11"/>
      <c r="X14" s="11"/>
    </row>
    <row r="15" spans="3:24" x14ac:dyDescent="0.2">
      <c r="C15" s="15" t="s">
        <v>5</v>
      </c>
      <c r="D15" s="15">
        <v>20</v>
      </c>
      <c r="F15" s="11"/>
      <c r="G15" s="14"/>
      <c r="L15" s="11"/>
      <c r="M15" s="11"/>
      <c r="N15" s="11"/>
      <c r="P15" s="24">
        <v>0</v>
      </c>
      <c r="Q15" s="20">
        <v>0</v>
      </c>
      <c r="S15" s="31">
        <v>0</v>
      </c>
      <c r="T15" s="32">
        <v>0</v>
      </c>
      <c r="U15" s="11"/>
      <c r="V15" s="11"/>
      <c r="W15" s="11"/>
      <c r="X15" s="11"/>
    </row>
    <row r="16" spans="3:24" x14ac:dyDescent="0.2">
      <c r="L16" s="11"/>
      <c r="M16" s="11"/>
      <c r="N16" s="11"/>
      <c r="U16" s="11"/>
      <c r="V16" s="11"/>
      <c r="W16" s="11"/>
      <c r="X16" s="11"/>
    </row>
    <row r="17" spans="4:24" x14ac:dyDescent="0.2">
      <c r="D17">
        <f>SUM(D11:D15)</f>
        <v>100</v>
      </c>
      <c r="L17" s="11"/>
      <c r="M17" s="11"/>
      <c r="N17" s="11"/>
      <c r="U17" s="11"/>
      <c r="V17" s="11"/>
      <c r="W17" s="11"/>
      <c r="X17" s="11"/>
    </row>
    <row r="18" spans="4:24" x14ac:dyDescent="0.2">
      <c r="L18" s="11"/>
      <c r="M18" s="11"/>
      <c r="N18" s="11"/>
      <c r="U18" s="11"/>
      <c r="V18" s="11"/>
      <c r="W18" s="11"/>
      <c r="X18" s="11"/>
    </row>
    <row r="19" spans="4:24" x14ac:dyDescent="0.2">
      <c r="L19" s="11"/>
      <c r="M19" s="11"/>
      <c r="N19" s="11"/>
      <c r="U19" s="11"/>
      <c r="V19" s="11"/>
      <c r="W19" s="11"/>
      <c r="X19" s="11"/>
    </row>
    <row r="20" spans="4:24" x14ac:dyDescent="0.2">
      <c r="L20" s="11"/>
      <c r="M20" s="11"/>
      <c r="N20" s="11"/>
      <c r="U20" s="11"/>
      <c r="V20" s="11"/>
      <c r="W20" s="11"/>
      <c r="X20" s="11"/>
    </row>
    <row r="21" spans="4:24" x14ac:dyDescent="0.2">
      <c r="L21" s="11"/>
      <c r="M21" s="11"/>
      <c r="N21" s="11"/>
      <c r="U21" s="11"/>
      <c r="V21" s="11"/>
      <c r="W21" s="11"/>
      <c r="X21" s="11"/>
    </row>
    <row r="22" spans="4:24" x14ac:dyDescent="0.2">
      <c r="L22" s="11"/>
      <c r="M22" s="11"/>
      <c r="N22" s="11"/>
    </row>
    <row r="23" spans="4:24" x14ac:dyDescent="0.2">
      <c r="L23" s="11"/>
      <c r="M23" s="11"/>
      <c r="N23" s="11"/>
    </row>
    <row r="24" spans="4:24" x14ac:dyDescent="0.2">
      <c r="L24" s="11"/>
      <c r="M24" s="11"/>
      <c r="N24" s="11"/>
    </row>
    <row r="25" spans="4:24" x14ac:dyDescent="0.2">
      <c r="L25" s="11"/>
      <c r="M25" s="11"/>
      <c r="N25" s="11"/>
    </row>
    <row r="26" spans="4:24" x14ac:dyDescent="0.2">
      <c r="L26" s="11"/>
      <c r="M26" s="11"/>
      <c r="N26" s="11"/>
    </row>
    <row r="27" spans="4:24" x14ac:dyDescent="0.2">
      <c r="L27" s="11"/>
      <c r="M27" s="11"/>
      <c r="N27" s="11"/>
    </row>
    <row r="28" spans="4:24" x14ac:dyDescent="0.2">
      <c r="L28" s="11"/>
      <c r="M28" s="11"/>
      <c r="N28" s="11"/>
    </row>
    <row r="29" spans="4:24" x14ac:dyDescent="0.2">
      <c r="L29" s="11"/>
      <c r="M29" s="11"/>
      <c r="N29" s="11"/>
    </row>
    <row r="30" spans="4:24" x14ac:dyDescent="0.2">
      <c r="L30" s="11"/>
      <c r="M30" s="11"/>
      <c r="N30" s="11"/>
    </row>
    <row r="31" spans="4:24" x14ac:dyDescent="0.2">
      <c r="L31" s="11"/>
      <c r="M31" s="11"/>
      <c r="N31" s="11"/>
    </row>
    <row r="32" spans="4:24" x14ac:dyDescent="0.2">
      <c r="L32" s="11"/>
      <c r="M32" s="11"/>
      <c r="N32" s="11"/>
    </row>
    <row r="44" spans="11:13" x14ac:dyDescent="0.2">
      <c r="K44" s="16" t="s">
        <v>10</v>
      </c>
      <c r="L44" s="17" t="s">
        <v>17</v>
      </c>
      <c r="M44" s="18" t="s">
        <v>16</v>
      </c>
    </row>
    <row r="45" spans="11:13" x14ac:dyDescent="0.2">
      <c r="K45" s="19">
        <v>5</v>
      </c>
      <c r="L45" s="20">
        <v>80</v>
      </c>
      <c r="M45" s="21">
        <v>80</v>
      </c>
    </row>
    <row r="46" spans="11:13" x14ac:dyDescent="0.2">
      <c r="K46" s="19">
        <v>10</v>
      </c>
      <c r="L46" s="20">
        <v>80</v>
      </c>
      <c r="M46" s="21">
        <v>80</v>
      </c>
    </row>
    <row r="47" spans="11:13" x14ac:dyDescent="0.2">
      <c r="K47" s="19">
        <v>15</v>
      </c>
      <c r="L47" s="20">
        <v>81</v>
      </c>
      <c r="M47" s="21">
        <v>81</v>
      </c>
    </row>
    <row r="48" spans="11:13" x14ac:dyDescent="0.2">
      <c r="K48" s="19">
        <v>20</v>
      </c>
      <c r="L48" s="20">
        <v>82</v>
      </c>
      <c r="M48" s="21">
        <v>82</v>
      </c>
    </row>
    <row r="49" spans="11:25" x14ac:dyDescent="0.2">
      <c r="K49" s="19">
        <v>25</v>
      </c>
      <c r="L49" s="20">
        <v>82</v>
      </c>
      <c r="M49" s="21">
        <v>82</v>
      </c>
      <c r="T49" s="6"/>
      <c r="U49" s="6"/>
      <c r="V49" s="6"/>
      <c r="W49" s="6"/>
      <c r="X49" s="6"/>
      <c r="Y49" s="6"/>
    </row>
    <row r="50" spans="11:25" x14ac:dyDescent="0.2">
      <c r="K50" s="19">
        <v>30</v>
      </c>
      <c r="L50" s="20">
        <v>83</v>
      </c>
      <c r="M50" s="21">
        <v>83</v>
      </c>
      <c r="T50" s="6"/>
      <c r="U50" s="7" t="s">
        <v>6</v>
      </c>
      <c r="V50" s="8" t="s">
        <v>7</v>
      </c>
      <c r="W50" s="7" t="s">
        <v>6</v>
      </c>
      <c r="X50" s="8" t="s">
        <v>7</v>
      </c>
      <c r="Y50" s="6"/>
    </row>
    <row r="51" spans="11:25" x14ac:dyDescent="0.2">
      <c r="K51" s="19">
        <v>35</v>
      </c>
      <c r="L51" s="20">
        <v>83</v>
      </c>
      <c r="M51" s="21">
        <v>83</v>
      </c>
      <c r="T51" s="6"/>
      <c r="U51" s="9">
        <v>1</v>
      </c>
      <c r="V51" s="10" t="s">
        <v>8</v>
      </c>
      <c r="W51" s="9">
        <v>11</v>
      </c>
      <c r="X51" s="10" t="s">
        <v>8</v>
      </c>
      <c r="Y51" s="6"/>
    </row>
    <row r="52" spans="11:25" x14ac:dyDescent="0.2">
      <c r="K52" s="19">
        <v>40</v>
      </c>
      <c r="L52" s="20">
        <v>82</v>
      </c>
      <c r="M52" s="21">
        <v>81</v>
      </c>
      <c r="T52" s="6"/>
      <c r="U52" s="9">
        <v>2</v>
      </c>
      <c r="V52" s="10" t="s">
        <v>8</v>
      </c>
      <c r="W52" s="9">
        <v>12</v>
      </c>
      <c r="X52" s="10" t="s">
        <v>8</v>
      </c>
      <c r="Y52" s="6"/>
    </row>
    <row r="53" spans="11:25" x14ac:dyDescent="0.2">
      <c r="K53" s="19">
        <v>45</v>
      </c>
      <c r="L53" s="20">
        <v>84</v>
      </c>
      <c r="M53" s="21">
        <v>84</v>
      </c>
      <c r="T53" s="6"/>
      <c r="U53" s="9">
        <v>3</v>
      </c>
      <c r="V53" s="10" t="s">
        <v>8</v>
      </c>
      <c r="W53" s="9">
        <v>13</v>
      </c>
      <c r="X53" s="10" t="s">
        <v>8</v>
      </c>
      <c r="Y53" s="6"/>
    </row>
    <row r="54" spans="11:25" x14ac:dyDescent="0.2">
      <c r="K54" s="19">
        <v>50</v>
      </c>
      <c r="L54" s="20">
        <v>84</v>
      </c>
      <c r="M54" s="21">
        <v>84</v>
      </c>
      <c r="T54" s="6"/>
      <c r="U54" s="9">
        <v>4</v>
      </c>
      <c r="V54" s="10" t="s">
        <v>8</v>
      </c>
      <c r="W54" s="9">
        <v>14</v>
      </c>
      <c r="X54" s="10" t="s">
        <v>8</v>
      </c>
      <c r="Y54" s="6"/>
    </row>
    <row r="55" spans="11:25" x14ac:dyDescent="0.2">
      <c r="K55" s="19">
        <v>55</v>
      </c>
      <c r="L55" s="20">
        <v>83</v>
      </c>
      <c r="M55" s="21">
        <v>84</v>
      </c>
      <c r="T55" s="6"/>
      <c r="U55" s="9">
        <v>5</v>
      </c>
      <c r="V55" s="10" t="s">
        <v>8</v>
      </c>
      <c r="W55" s="9">
        <v>15</v>
      </c>
      <c r="X55" s="10" t="s">
        <v>8</v>
      </c>
      <c r="Y55" s="6"/>
    </row>
    <row r="56" spans="11:25" x14ac:dyDescent="0.2">
      <c r="K56" s="19">
        <v>60</v>
      </c>
      <c r="L56" s="20">
        <v>82</v>
      </c>
      <c r="M56" s="21">
        <v>82</v>
      </c>
      <c r="T56" s="6"/>
      <c r="U56" s="9">
        <v>6</v>
      </c>
      <c r="V56" s="10" t="s">
        <v>8</v>
      </c>
      <c r="W56" s="9">
        <v>16</v>
      </c>
      <c r="X56" s="10" t="s">
        <v>8</v>
      </c>
      <c r="Y56" s="6"/>
    </row>
    <row r="57" spans="11:25" x14ac:dyDescent="0.2">
      <c r="K57" s="19">
        <v>65</v>
      </c>
      <c r="L57" s="20">
        <v>82</v>
      </c>
      <c r="M57" s="21">
        <v>82</v>
      </c>
      <c r="T57" s="6"/>
      <c r="U57" s="9">
        <v>7</v>
      </c>
      <c r="V57" s="10" t="s">
        <v>9</v>
      </c>
      <c r="W57" s="9">
        <v>17</v>
      </c>
      <c r="X57" s="10" t="s">
        <v>8</v>
      </c>
      <c r="Y57" s="6"/>
    </row>
    <row r="58" spans="11:25" x14ac:dyDescent="0.2">
      <c r="K58" s="19">
        <v>70</v>
      </c>
      <c r="L58" s="20">
        <v>84</v>
      </c>
      <c r="M58" s="21">
        <v>84</v>
      </c>
      <c r="T58" s="6"/>
      <c r="U58" s="9">
        <v>8</v>
      </c>
      <c r="V58" s="10" t="s">
        <v>8</v>
      </c>
      <c r="W58" s="9">
        <v>18</v>
      </c>
      <c r="X58" s="10" t="s">
        <v>8</v>
      </c>
      <c r="Y58" s="6"/>
    </row>
    <row r="59" spans="11:25" x14ac:dyDescent="0.2">
      <c r="K59" s="19">
        <v>75</v>
      </c>
      <c r="L59" s="20">
        <v>83</v>
      </c>
      <c r="M59" s="21">
        <v>84</v>
      </c>
      <c r="T59" s="6"/>
      <c r="U59" s="9">
        <v>9</v>
      </c>
      <c r="V59" s="10" t="s">
        <v>8</v>
      </c>
      <c r="W59" s="9">
        <v>19</v>
      </c>
      <c r="X59" s="10" t="s">
        <v>9</v>
      </c>
      <c r="Y59" s="6"/>
    </row>
    <row r="60" spans="11:25" x14ac:dyDescent="0.2">
      <c r="K60" s="19">
        <v>80</v>
      </c>
      <c r="L60" s="20">
        <v>83</v>
      </c>
      <c r="M60" s="21">
        <v>83</v>
      </c>
      <c r="T60" s="6"/>
      <c r="U60" s="9">
        <v>10</v>
      </c>
      <c r="V60" s="10" t="s">
        <v>8</v>
      </c>
      <c r="W60" s="9">
        <v>20</v>
      </c>
      <c r="X60" s="10" t="s">
        <v>8</v>
      </c>
      <c r="Y60" s="6"/>
    </row>
    <row r="61" spans="11:25" x14ac:dyDescent="0.2">
      <c r="K61" s="19">
        <v>85</v>
      </c>
      <c r="L61" s="20">
        <v>84</v>
      </c>
      <c r="M61" s="21">
        <v>84</v>
      </c>
      <c r="T61" s="6"/>
      <c r="U61" s="6"/>
      <c r="V61" s="6"/>
      <c r="W61" s="6"/>
      <c r="X61" s="6"/>
      <c r="Y61" s="6"/>
    </row>
    <row r="62" spans="11:25" x14ac:dyDescent="0.2">
      <c r="K62" s="19">
        <v>90</v>
      </c>
      <c r="L62" s="20">
        <v>85</v>
      </c>
      <c r="M62" s="21">
        <v>85</v>
      </c>
    </row>
    <row r="63" spans="11:25" x14ac:dyDescent="0.2">
      <c r="K63" s="19">
        <v>95</v>
      </c>
      <c r="L63" s="20">
        <v>83</v>
      </c>
      <c r="M63" s="21">
        <v>83</v>
      </c>
    </row>
    <row r="64" spans="11:25" x14ac:dyDescent="0.2">
      <c r="K64" s="19">
        <v>100</v>
      </c>
      <c r="L64" s="20">
        <v>84</v>
      </c>
      <c r="M64" s="21">
        <v>84</v>
      </c>
    </row>
    <row r="65" spans="11:13" x14ac:dyDescent="0.2">
      <c r="K65" s="19">
        <v>105</v>
      </c>
      <c r="L65" s="20">
        <v>84</v>
      </c>
      <c r="M65" s="21">
        <v>84</v>
      </c>
    </row>
    <row r="66" spans="11:13" x14ac:dyDescent="0.2">
      <c r="K66" s="19">
        <v>110</v>
      </c>
      <c r="L66" s="20">
        <v>85</v>
      </c>
      <c r="M66" s="21">
        <v>85</v>
      </c>
    </row>
    <row r="67" spans="11:13" x14ac:dyDescent="0.2">
      <c r="K67" s="19">
        <v>115</v>
      </c>
      <c r="L67" s="20">
        <v>83</v>
      </c>
      <c r="M67" s="21">
        <v>82</v>
      </c>
    </row>
    <row r="68" spans="11:13" x14ac:dyDescent="0.2">
      <c r="K68" s="19">
        <v>120</v>
      </c>
      <c r="L68" s="20">
        <v>84</v>
      </c>
      <c r="M68" s="21">
        <v>84</v>
      </c>
    </row>
    <row r="69" spans="11:13" x14ac:dyDescent="0.2">
      <c r="K69" s="19">
        <v>125</v>
      </c>
      <c r="L69" s="20">
        <v>83</v>
      </c>
      <c r="M69" s="21">
        <v>83</v>
      </c>
    </row>
    <row r="70" spans="11:13" x14ac:dyDescent="0.2">
      <c r="K70" s="19">
        <v>130</v>
      </c>
      <c r="L70" s="20">
        <v>83</v>
      </c>
      <c r="M70" s="21">
        <v>85</v>
      </c>
    </row>
    <row r="71" spans="11:13" x14ac:dyDescent="0.2">
      <c r="K71" s="19">
        <v>135</v>
      </c>
      <c r="L71" s="20">
        <v>82</v>
      </c>
      <c r="M71" s="21">
        <v>82</v>
      </c>
    </row>
    <row r="72" spans="11:13" x14ac:dyDescent="0.2">
      <c r="K72" s="19">
        <v>140</v>
      </c>
      <c r="L72" s="20">
        <v>81</v>
      </c>
      <c r="M72" s="21">
        <v>80</v>
      </c>
    </row>
    <row r="73" spans="11:13" x14ac:dyDescent="0.2">
      <c r="K73" s="19">
        <v>145</v>
      </c>
      <c r="L73" s="20">
        <v>81</v>
      </c>
      <c r="M73" s="21">
        <v>81</v>
      </c>
    </row>
    <row r="74" spans="11:13" x14ac:dyDescent="0.2">
      <c r="K74" s="19">
        <v>150</v>
      </c>
      <c r="L74" s="20">
        <v>82</v>
      </c>
      <c r="M74" s="21">
        <v>82</v>
      </c>
    </row>
    <row r="85" spans="11:15" x14ac:dyDescent="0.2">
      <c r="K85" s="16" t="s">
        <v>10</v>
      </c>
      <c r="L85" s="17" t="s">
        <v>17</v>
      </c>
      <c r="M85" s="18" t="s">
        <v>16</v>
      </c>
    </row>
    <row r="86" spans="11:15" x14ac:dyDescent="0.2">
      <c r="K86" s="19">
        <v>5</v>
      </c>
      <c r="L86" s="20">
        <v>96</v>
      </c>
      <c r="M86" s="21">
        <v>95</v>
      </c>
    </row>
    <row r="87" spans="11:15" x14ac:dyDescent="0.2">
      <c r="K87" s="19">
        <v>10</v>
      </c>
      <c r="L87" s="20">
        <v>96</v>
      </c>
      <c r="M87" s="21">
        <v>95</v>
      </c>
      <c r="O87" s="12"/>
    </row>
    <row r="88" spans="11:15" x14ac:dyDescent="0.2">
      <c r="K88" s="19">
        <v>15</v>
      </c>
      <c r="L88" s="20">
        <v>96</v>
      </c>
      <c r="M88" s="21">
        <v>95</v>
      </c>
      <c r="O88" s="13"/>
    </row>
    <row r="89" spans="11:15" x14ac:dyDescent="0.2">
      <c r="K89" s="19">
        <v>20</v>
      </c>
      <c r="L89" s="20">
        <v>96</v>
      </c>
      <c r="M89" s="21">
        <v>96</v>
      </c>
    </row>
    <row r="90" spans="11:15" x14ac:dyDescent="0.2">
      <c r="K90" s="19">
        <v>25</v>
      </c>
      <c r="L90" s="20">
        <v>96</v>
      </c>
      <c r="M90" s="21">
        <v>96</v>
      </c>
    </row>
    <row r="91" spans="11:15" x14ac:dyDescent="0.2">
      <c r="K91" s="19">
        <v>30</v>
      </c>
      <c r="L91" s="20">
        <v>96</v>
      </c>
      <c r="M91" s="21">
        <v>96</v>
      </c>
    </row>
    <row r="92" spans="11:15" x14ac:dyDescent="0.2">
      <c r="K92" s="19">
        <v>35</v>
      </c>
      <c r="L92" s="20">
        <v>96</v>
      </c>
      <c r="M92" s="21">
        <v>96</v>
      </c>
    </row>
    <row r="93" spans="11:15" x14ac:dyDescent="0.2">
      <c r="K93" s="19">
        <v>40</v>
      </c>
      <c r="L93" s="20">
        <v>95</v>
      </c>
      <c r="M93" s="21">
        <v>95</v>
      </c>
    </row>
    <row r="94" spans="11:15" x14ac:dyDescent="0.2">
      <c r="K94" s="19">
        <v>45</v>
      </c>
      <c r="L94" s="20">
        <v>95</v>
      </c>
      <c r="M94" s="21">
        <v>95</v>
      </c>
    </row>
    <row r="95" spans="11:15" x14ac:dyDescent="0.2">
      <c r="K95" s="19">
        <v>50</v>
      </c>
      <c r="L95" s="20">
        <v>95</v>
      </c>
      <c r="M95" s="21">
        <v>96</v>
      </c>
    </row>
    <row r="96" spans="11:15" x14ac:dyDescent="0.2">
      <c r="K96" s="19">
        <v>55</v>
      </c>
      <c r="L96" s="20">
        <v>95</v>
      </c>
      <c r="M96" s="21">
        <v>95</v>
      </c>
    </row>
    <row r="97" spans="11:13" x14ac:dyDescent="0.2">
      <c r="K97" s="19">
        <v>60</v>
      </c>
      <c r="L97" s="20">
        <v>95</v>
      </c>
      <c r="M97" s="21">
        <v>95</v>
      </c>
    </row>
    <row r="98" spans="11:13" x14ac:dyDescent="0.2">
      <c r="K98" s="19">
        <v>65</v>
      </c>
      <c r="L98" s="20">
        <v>96</v>
      </c>
      <c r="M98" s="21">
        <v>95</v>
      </c>
    </row>
    <row r="99" spans="11:13" x14ac:dyDescent="0.2">
      <c r="K99" s="19">
        <v>70</v>
      </c>
      <c r="L99" s="20">
        <v>96</v>
      </c>
      <c r="M99" s="21">
        <v>95</v>
      </c>
    </row>
    <row r="100" spans="11:13" x14ac:dyDescent="0.2">
      <c r="K100" s="19">
        <v>75</v>
      </c>
      <c r="L100" s="20">
        <v>96</v>
      </c>
      <c r="M100" s="21">
        <v>96</v>
      </c>
    </row>
    <row r="101" spans="11:13" x14ac:dyDescent="0.2">
      <c r="K101" s="19">
        <v>80</v>
      </c>
      <c r="L101" s="20">
        <v>96</v>
      </c>
      <c r="M101" s="21">
        <v>96</v>
      </c>
    </row>
    <row r="102" spans="11:13" x14ac:dyDescent="0.2">
      <c r="K102" s="19">
        <v>85</v>
      </c>
      <c r="L102" s="20">
        <v>96</v>
      </c>
      <c r="M102" s="21">
        <v>96</v>
      </c>
    </row>
    <row r="103" spans="11:13" x14ac:dyDescent="0.2">
      <c r="K103" s="19">
        <v>90</v>
      </c>
      <c r="L103" s="20">
        <v>96</v>
      </c>
      <c r="M103" s="21">
        <v>96</v>
      </c>
    </row>
    <row r="104" spans="11:13" x14ac:dyDescent="0.2">
      <c r="K104" s="19">
        <v>95</v>
      </c>
      <c r="L104" s="20">
        <v>96</v>
      </c>
      <c r="M104" s="21">
        <v>96</v>
      </c>
    </row>
    <row r="105" spans="11:13" x14ac:dyDescent="0.2">
      <c r="K105" s="19">
        <v>100</v>
      </c>
      <c r="L105" s="20">
        <v>96</v>
      </c>
      <c r="M105" s="21">
        <v>96</v>
      </c>
    </row>
    <row r="106" spans="11:13" x14ac:dyDescent="0.2">
      <c r="K106" s="19">
        <v>105</v>
      </c>
      <c r="L106" s="20">
        <v>97</v>
      </c>
      <c r="M106" s="21">
        <v>97</v>
      </c>
    </row>
    <row r="107" spans="11:13" x14ac:dyDescent="0.2">
      <c r="K107" s="19">
        <v>110</v>
      </c>
      <c r="L107" s="20">
        <v>97</v>
      </c>
      <c r="M107" s="21">
        <v>97</v>
      </c>
    </row>
    <row r="108" spans="11:13" x14ac:dyDescent="0.2">
      <c r="K108" s="19">
        <v>115</v>
      </c>
      <c r="L108" s="20">
        <v>97</v>
      </c>
      <c r="M108" s="21">
        <v>97</v>
      </c>
    </row>
    <row r="109" spans="11:13" x14ac:dyDescent="0.2">
      <c r="K109" s="19">
        <v>120</v>
      </c>
      <c r="L109" s="20">
        <v>97</v>
      </c>
      <c r="M109" s="21">
        <v>97</v>
      </c>
    </row>
    <row r="110" spans="11:13" x14ac:dyDescent="0.2">
      <c r="K110" s="19">
        <v>125</v>
      </c>
      <c r="L110" s="20">
        <v>97</v>
      </c>
      <c r="M110" s="21">
        <v>97</v>
      </c>
    </row>
    <row r="111" spans="11:13" x14ac:dyDescent="0.2">
      <c r="K111" s="19">
        <v>130</v>
      </c>
      <c r="L111" s="20">
        <v>97</v>
      </c>
      <c r="M111" s="21">
        <v>97</v>
      </c>
    </row>
    <row r="112" spans="11:13" x14ac:dyDescent="0.2">
      <c r="K112" s="19">
        <v>135</v>
      </c>
      <c r="L112" s="20">
        <v>98</v>
      </c>
      <c r="M112" s="21">
        <v>97</v>
      </c>
    </row>
    <row r="113" spans="3:13" x14ac:dyDescent="0.2">
      <c r="K113" s="19">
        <v>140</v>
      </c>
      <c r="L113" s="20">
        <v>98</v>
      </c>
      <c r="M113" s="21">
        <v>97</v>
      </c>
    </row>
    <row r="114" spans="3:13" x14ac:dyDescent="0.2">
      <c r="K114" s="19">
        <v>145</v>
      </c>
      <c r="L114" s="20">
        <v>98</v>
      </c>
      <c r="M114" s="21">
        <v>98</v>
      </c>
    </row>
    <row r="115" spans="3:13" x14ac:dyDescent="0.2">
      <c r="K115" s="19">
        <v>150</v>
      </c>
      <c r="L115" s="20">
        <v>98</v>
      </c>
      <c r="M115" s="21">
        <v>98</v>
      </c>
    </row>
    <row r="118" spans="3:13" x14ac:dyDescent="0.2">
      <c r="C118" t="s">
        <v>11</v>
      </c>
      <c r="D118">
        <v>8</v>
      </c>
    </row>
    <row r="119" spans="3:13" x14ac:dyDescent="0.2">
      <c r="C119" t="s">
        <v>12</v>
      </c>
      <c r="D119">
        <v>1</v>
      </c>
    </row>
    <row r="120" spans="3:13" x14ac:dyDescent="0.2">
      <c r="C120" t="s">
        <v>13</v>
      </c>
      <c r="D120">
        <v>1.5</v>
      </c>
    </row>
    <row r="121" spans="3:13" x14ac:dyDescent="0.2">
      <c r="C121" t="s">
        <v>14</v>
      </c>
      <c r="D121">
        <v>2.5</v>
      </c>
    </row>
    <row r="122" spans="3:13" x14ac:dyDescent="0.2">
      <c r="C122" t="s">
        <v>15</v>
      </c>
      <c r="D122">
        <v>1</v>
      </c>
    </row>
    <row r="123" spans="3:13" x14ac:dyDescent="0.2">
      <c r="D123">
        <f>SUM(D118:D122)</f>
        <v>14</v>
      </c>
    </row>
    <row r="129" spans="11:13" x14ac:dyDescent="0.2">
      <c r="K129" s="16" t="s">
        <v>10</v>
      </c>
      <c r="L129" s="17" t="s">
        <v>17</v>
      </c>
      <c r="M129" s="18" t="s">
        <v>16</v>
      </c>
    </row>
    <row r="130" spans="11:13" x14ac:dyDescent="0.2">
      <c r="K130" s="19">
        <v>5</v>
      </c>
      <c r="L130" s="20">
        <v>29</v>
      </c>
      <c r="M130" s="21">
        <v>28</v>
      </c>
    </row>
    <row r="131" spans="11:13" x14ac:dyDescent="0.2">
      <c r="K131" s="19">
        <v>10</v>
      </c>
      <c r="L131" s="20">
        <v>29</v>
      </c>
      <c r="M131" s="21">
        <v>29</v>
      </c>
    </row>
    <row r="132" spans="11:13" x14ac:dyDescent="0.2">
      <c r="K132" s="19">
        <v>15</v>
      </c>
      <c r="L132" s="20">
        <v>29</v>
      </c>
      <c r="M132" s="21">
        <v>29</v>
      </c>
    </row>
    <row r="133" spans="11:13" x14ac:dyDescent="0.2">
      <c r="K133" s="19">
        <v>20</v>
      </c>
      <c r="L133" s="20">
        <v>29</v>
      </c>
      <c r="M133" s="21">
        <v>29</v>
      </c>
    </row>
    <row r="134" spans="11:13" x14ac:dyDescent="0.2">
      <c r="K134" s="19">
        <v>25</v>
      </c>
      <c r="L134" s="20">
        <v>29</v>
      </c>
      <c r="M134" s="21">
        <v>29</v>
      </c>
    </row>
    <row r="135" spans="11:13" x14ac:dyDescent="0.2">
      <c r="K135" s="19">
        <v>30</v>
      </c>
      <c r="L135" s="20">
        <v>28</v>
      </c>
      <c r="M135" s="21">
        <v>28</v>
      </c>
    </row>
    <row r="136" spans="11:13" x14ac:dyDescent="0.2">
      <c r="K136" s="19">
        <v>35</v>
      </c>
      <c r="L136" s="20">
        <v>28</v>
      </c>
      <c r="M136" s="21">
        <v>28</v>
      </c>
    </row>
    <row r="137" spans="11:13" x14ac:dyDescent="0.2">
      <c r="K137" s="19">
        <v>40</v>
      </c>
      <c r="L137" s="20">
        <v>28</v>
      </c>
      <c r="M137" s="21">
        <v>28</v>
      </c>
    </row>
    <row r="138" spans="11:13" x14ac:dyDescent="0.2">
      <c r="K138" s="19">
        <v>45</v>
      </c>
      <c r="L138" s="20">
        <v>28</v>
      </c>
      <c r="M138" s="21">
        <v>29</v>
      </c>
    </row>
    <row r="139" spans="11:13" x14ac:dyDescent="0.2">
      <c r="K139" s="19">
        <v>50</v>
      </c>
      <c r="L139" s="20">
        <v>29</v>
      </c>
      <c r="M139" s="21">
        <v>29</v>
      </c>
    </row>
    <row r="140" spans="11:13" x14ac:dyDescent="0.2">
      <c r="K140" s="19">
        <v>55</v>
      </c>
      <c r="L140" s="20">
        <v>29</v>
      </c>
      <c r="M140" s="21">
        <v>29</v>
      </c>
    </row>
    <row r="141" spans="11:13" x14ac:dyDescent="0.2">
      <c r="K141" s="19">
        <v>60</v>
      </c>
      <c r="L141" s="20">
        <v>29</v>
      </c>
      <c r="M141" s="21">
        <v>29</v>
      </c>
    </row>
    <row r="142" spans="11:13" x14ac:dyDescent="0.2">
      <c r="K142" s="19">
        <v>65</v>
      </c>
      <c r="L142" s="20">
        <v>29</v>
      </c>
      <c r="M142" s="21">
        <v>30</v>
      </c>
    </row>
    <row r="143" spans="11:13" x14ac:dyDescent="0.2">
      <c r="K143" s="19">
        <v>70</v>
      </c>
      <c r="L143" s="20">
        <v>30</v>
      </c>
      <c r="M143" s="21">
        <v>30</v>
      </c>
    </row>
    <row r="144" spans="11:13" x14ac:dyDescent="0.2">
      <c r="K144" s="19">
        <v>75</v>
      </c>
      <c r="L144" s="20">
        <v>30</v>
      </c>
      <c r="M144" s="21">
        <v>30</v>
      </c>
    </row>
    <row r="145" spans="11:13" x14ac:dyDescent="0.2">
      <c r="K145" s="19">
        <v>80</v>
      </c>
      <c r="L145" s="20">
        <v>30</v>
      </c>
      <c r="M145" s="21">
        <v>30</v>
      </c>
    </row>
    <row r="146" spans="11:13" x14ac:dyDescent="0.2">
      <c r="K146" s="19">
        <v>85</v>
      </c>
      <c r="L146" s="20">
        <v>30</v>
      </c>
      <c r="M146" s="21">
        <v>30</v>
      </c>
    </row>
    <row r="147" spans="11:13" x14ac:dyDescent="0.2">
      <c r="K147" s="19">
        <v>90</v>
      </c>
      <c r="L147" s="20">
        <v>30</v>
      </c>
      <c r="M147" s="21">
        <v>30</v>
      </c>
    </row>
    <row r="148" spans="11:13" x14ac:dyDescent="0.2">
      <c r="K148" s="19">
        <v>95</v>
      </c>
      <c r="L148" s="20">
        <v>30</v>
      </c>
      <c r="M148" s="21">
        <v>30</v>
      </c>
    </row>
    <row r="149" spans="11:13" x14ac:dyDescent="0.2">
      <c r="K149" s="19">
        <v>100</v>
      </c>
      <c r="L149" s="20">
        <v>30</v>
      </c>
      <c r="M149" s="21">
        <v>30</v>
      </c>
    </row>
    <row r="150" spans="11:13" x14ac:dyDescent="0.2">
      <c r="K150" s="19">
        <v>105</v>
      </c>
      <c r="L150" s="20">
        <v>30</v>
      </c>
      <c r="M150" s="21">
        <v>31</v>
      </c>
    </row>
    <row r="151" spans="11:13" x14ac:dyDescent="0.2">
      <c r="K151" s="19">
        <v>110</v>
      </c>
      <c r="L151" s="20">
        <v>30</v>
      </c>
      <c r="M151" s="21">
        <v>31</v>
      </c>
    </row>
    <row r="152" spans="11:13" x14ac:dyDescent="0.2">
      <c r="K152" s="19">
        <v>115</v>
      </c>
      <c r="L152" s="20">
        <v>31</v>
      </c>
      <c r="M152" s="21">
        <v>31</v>
      </c>
    </row>
    <row r="153" spans="11:13" x14ac:dyDescent="0.2">
      <c r="K153" s="19">
        <v>120</v>
      </c>
      <c r="L153" s="20">
        <v>31</v>
      </c>
      <c r="M153" s="21">
        <v>31</v>
      </c>
    </row>
    <row r="154" spans="11:13" x14ac:dyDescent="0.2">
      <c r="K154" s="19">
        <v>125</v>
      </c>
      <c r="L154" s="20">
        <v>31</v>
      </c>
      <c r="M154" s="21">
        <v>32</v>
      </c>
    </row>
    <row r="155" spans="11:13" x14ac:dyDescent="0.2">
      <c r="K155" s="19">
        <v>130</v>
      </c>
      <c r="L155" s="20">
        <v>30</v>
      </c>
      <c r="M155" s="21">
        <v>32</v>
      </c>
    </row>
    <row r="156" spans="11:13" x14ac:dyDescent="0.2">
      <c r="K156" s="19">
        <v>135</v>
      </c>
      <c r="L156" s="20">
        <v>30</v>
      </c>
      <c r="M156" s="21">
        <v>30</v>
      </c>
    </row>
    <row r="157" spans="11:13" x14ac:dyDescent="0.2">
      <c r="K157" s="19">
        <v>140</v>
      </c>
      <c r="L157" s="20">
        <v>30</v>
      </c>
      <c r="M157" s="21">
        <v>30</v>
      </c>
    </row>
    <row r="158" spans="11:13" x14ac:dyDescent="0.2">
      <c r="K158" s="19">
        <v>145</v>
      </c>
      <c r="L158" s="20">
        <v>30</v>
      </c>
      <c r="M158" s="21">
        <v>30</v>
      </c>
    </row>
    <row r="159" spans="11:13" x14ac:dyDescent="0.2">
      <c r="K159" s="19">
        <v>150</v>
      </c>
      <c r="L159" s="20">
        <v>30</v>
      </c>
      <c r="M159" s="21">
        <v>30</v>
      </c>
    </row>
    <row r="167" spans="11:13" x14ac:dyDescent="0.2">
      <c r="K167" s="16" t="s">
        <v>10</v>
      </c>
      <c r="L167" s="17" t="s">
        <v>17</v>
      </c>
      <c r="M167" s="18" t="s">
        <v>16</v>
      </c>
    </row>
    <row r="168" spans="11:13" x14ac:dyDescent="0.2">
      <c r="K168" s="19">
        <v>5</v>
      </c>
      <c r="L168" s="33">
        <v>0.2</v>
      </c>
      <c r="M168" s="21">
        <v>0.2</v>
      </c>
    </row>
    <row r="169" spans="11:13" x14ac:dyDescent="0.2">
      <c r="K169" s="19">
        <v>10</v>
      </c>
      <c r="L169" s="33">
        <v>9</v>
      </c>
      <c r="M169" s="21">
        <v>9</v>
      </c>
    </row>
    <row r="170" spans="11:13" x14ac:dyDescent="0.2">
      <c r="K170" s="19">
        <v>15</v>
      </c>
      <c r="L170" s="33">
        <v>0.4</v>
      </c>
      <c r="M170" s="21">
        <v>0.4</v>
      </c>
    </row>
    <row r="171" spans="11:13" x14ac:dyDescent="0.2">
      <c r="K171" s="19">
        <v>20</v>
      </c>
      <c r="L171" s="33">
        <v>8.3000000000000007</v>
      </c>
      <c r="M171" s="21">
        <v>6.2</v>
      </c>
    </row>
    <row r="172" spans="11:13" x14ac:dyDescent="0.2">
      <c r="K172" s="19">
        <v>25</v>
      </c>
      <c r="L172" s="33">
        <v>0.3</v>
      </c>
      <c r="M172" s="21">
        <v>0.3</v>
      </c>
    </row>
    <row r="173" spans="11:13" x14ac:dyDescent="0.2">
      <c r="K173" s="19">
        <v>30</v>
      </c>
      <c r="L173" s="33">
        <v>7.8</v>
      </c>
      <c r="M173" s="21">
        <v>7.8</v>
      </c>
    </row>
    <row r="174" spans="11:13" x14ac:dyDescent="0.2">
      <c r="K174" s="19">
        <v>35</v>
      </c>
      <c r="L174" s="33">
        <v>0.1</v>
      </c>
      <c r="M174" s="21">
        <v>1.2</v>
      </c>
    </row>
    <row r="175" spans="11:13" x14ac:dyDescent="0.2">
      <c r="K175" s="19">
        <v>40</v>
      </c>
      <c r="L175" s="33">
        <v>8.6999999999999993</v>
      </c>
      <c r="M175" s="21">
        <v>8.6999999999999993</v>
      </c>
    </row>
    <row r="176" spans="11:13" x14ac:dyDescent="0.2">
      <c r="K176" s="19">
        <v>45</v>
      </c>
      <c r="L176" s="33">
        <v>0.3</v>
      </c>
      <c r="M176" s="21">
        <v>0.3</v>
      </c>
    </row>
    <row r="177" spans="11:13" x14ac:dyDescent="0.2">
      <c r="K177" s="19">
        <v>50</v>
      </c>
      <c r="L177" s="33">
        <v>9.1999999999999993</v>
      </c>
      <c r="M177" s="21">
        <v>10.199999999999999</v>
      </c>
    </row>
    <row r="178" spans="11:13" x14ac:dyDescent="0.2">
      <c r="K178" s="19">
        <v>55</v>
      </c>
      <c r="L178" s="33">
        <v>0.1</v>
      </c>
      <c r="M178" s="21">
        <v>0.1</v>
      </c>
    </row>
    <row r="179" spans="11:13" x14ac:dyDescent="0.2">
      <c r="K179" s="19">
        <v>60</v>
      </c>
      <c r="L179" s="33">
        <v>10.3</v>
      </c>
      <c r="M179" s="21">
        <v>10.3</v>
      </c>
    </row>
    <row r="180" spans="11:13" x14ac:dyDescent="0.2">
      <c r="K180" s="19">
        <v>65</v>
      </c>
      <c r="L180" s="33">
        <v>0.1</v>
      </c>
      <c r="M180" s="21">
        <v>0.6</v>
      </c>
    </row>
    <row r="181" spans="11:13" x14ac:dyDescent="0.2">
      <c r="K181" s="19">
        <v>70</v>
      </c>
      <c r="L181" s="33">
        <v>8.4</v>
      </c>
      <c r="M181" s="21">
        <v>8.4</v>
      </c>
    </row>
    <row r="182" spans="11:13" x14ac:dyDescent="0.2">
      <c r="K182" s="19">
        <v>75</v>
      </c>
      <c r="L182" s="33">
        <v>0.2</v>
      </c>
      <c r="M182" s="21">
        <v>0.2</v>
      </c>
    </row>
    <row r="183" spans="11:13" x14ac:dyDescent="0.2">
      <c r="K183" s="19">
        <v>80</v>
      </c>
      <c r="L183" s="33">
        <v>7.6</v>
      </c>
      <c r="M183" s="21">
        <v>7.6</v>
      </c>
    </row>
    <row r="184" spans="11:13" x14ac:dyDescent="0.2">
      <c r="K184" s="19">
        <v>85</v>
      </c>
      <c r="L184" s="33">
        <v>0.2</v>
      </c>
      <c r="M184" s="21">
        <v>2</v>
      </c>
    </row>
    <row r="185" spans="11:13" x14ac:dyDescent="0.2">
      <c r="K185" s="19">
        <v>90</v>
      </c>
      <c r="L185" s="33">
        <v>8.9</v>
      </c>
      <c r="M185" s="21">
        <v>8.9</v>
      </c>
    </row>
    <row r="186" spans="11:13" x14ac:dyDescent="0.2">
      <c r="K186" s="19">
        <v>95</v>
      </c>
      <c r="L186" s="33">
        <v>0.2</v>
      </c>
      <c r="M186" s="21">
        <v>0.9</v>
      </c>
    </row>
    <row r="187" spans="11:13" x14ac:dyDescent="0.2">
      <c r="K187" s="19">
        <v>100</v>
      </c>
      <c r="L187" s="33">
        <v>9.1999999999999993</v>
      </c>
      <c r="M187" s="21">
        <v>9.1999999999999993</v>
      </c>
    </row>
    <row r="188" spans="11:13" x14ac:dyDescent="0.2">
      <c r="K188" s="19">
        <v>105</v>
      </c>
      <c r="L188" s="33">
        <v>0.3</v>
      </c>
      <c r="M188" s="21">
        <v>0.3</v>
      </c>
    </row>
    <row r="189" spans="11:13" x14ac:dyDescent="0.2">
      <c r="K189" s="19">
        <v>110</v>
      </c>
      <c r="L189" s="33">
        <v>8.6</v>
      </c>
      <c r="M189" s="21">
        <v>8.6</v>
      </c>
    </row>
    <row r="190" spans="11:13" x14ac:dyDescent="0.2">
      <c r="K190" s="19">
        <v>115</v>
      </c>
      <c r="L190" s="33">
        <v>0.3</v>
      </c>
      <c r="M190" s="21">
        <v>0.2</v>
      </c>
    </row>
    <row r="191" spans="11:13" x14ac:dyDescent="0.2">
      <c r="K191" s="19">
        <v>120</v>
      </c>
      <c r="L191" s="33">
        <v>7.9</v>
      </c>
      <c r="M191" s="21">
        <v>7.9</v>
      </c>
    </row>
    <row r="192" spans="11:13" x14ac:dyDescent="0.2">
      <c r="K192" s="19">
        <v>125</v>
      </c>
      <c r="L192" s="33">
        <v>0.3</v>
      </c>
      <c r="M192" s="21">
        <v>0.3</v>
      </c>
    </row>
    <row r="193" spans="11:13" x14ac:dyDescent="0.2">
      <c r="K193" s="19">
        <v>130</v>
      </c>
      <c r="L193" s="33">
        <v>8.6999999999999993</v>
      </c>
      <c r="M193" s="21">
        <v>6.1</v>
      </c>
    </row>
    <row r="194" spans="11:13" x14ac:dyDescent="0.2">
      <c r="K194" s="19">
        <v>135</v>
      </c>
      <c r="L194" s="33">
        <v>0.3</v>
      </c>
      <c r="M194" s="21">
        <v>0.3</v>
      </c>
    </row>
    <row r="195" spans="11:13" x14ac:dyDescent="0.2">
      <c r="K195" s="19">
        <v>140</v>
      </c>
      <c r="L195" s="33">
        <v>11.2</v>
      </c>
      <c r="M195" s="21">
        <v>9.5</v>
      </c>
    </row>
    <row r="196" spans="11:13" x14ac:dyDescent="0.2">
      <c r="K196" s="19">
        <v>145</v>
      </c>
      <c r="L196" s="33">
        <v>0.1</v>
      </c>
      <c r="M196" s="21">
        <v>0.1</v>
      </c>
    </row>
    <row r="197" spans="11:13" x14ac:dyDescent="0.2">
      <c r="K197" s="19">
        <v>150</v>
      </c>
      <c r="L197" s="33">
        <v>10.7</v>
      </c>
      <c r="M197" s="21">
        <v>8.5</v>
      </c>
    </row>
    <row r="205" spans="11:13" x14ac:dyDescent="0.2">
      <c r="K205" s="16" t="s">
        <v>10</v>
      </c>
      <c r="L205" s="17" t="s">
        <v>17</v>
      </c>
      <c r="M205" s="18" t="s">
        <v>16</v>
      </c>
    </row>
    <row r="206" spans="11:13" x14ac:dyDescent="0.2">
      <c r="K206" s="19">
        <v>5</v>
      </c>
      <c r="L206" s="20">
        <v>42</v>
      </c>
      <c r="M206" s="21">
        <v>42</v>
      </c>
    </row>
    <row r="207" spans="11:13" x14ac:dyDescent="0.2">
      <c r="K207" s="19">
        <v>10</v>
      </c>
      <c r="L207" s="20">
        <v>42</v>
      </c>
      <c r="M207" s="21">
        <v>42</v>
      </c>
    </row>
    <row r="208" spans="11:13" x14ac:dyDescent="0.2">
      <c r="K208" s="19">
        <v>15</v>
      </c>
      <c r="L208" s="20">
        <v>43</v>
      </c>
      <c r="M208" s="21">
        <v>43</v>
      </c>
    </row>
    <row r="209" spans="11:13" x14ac:dyDescent="0.2">
      <c r="K209" s="19">
        <v>20</v>
      </c>
      <c r="L209" s="20">
        <v>43</v>
      </c>
      <c r="M209" s="21">
        <v>43</v>
      </c>
    </row>
    <row r="210" spans="11:13" x14ac:dyDescent="0.2">
      <c r="K210" s="19">
        <v>25</v>
      </c>
      <c r="L210" s="20">
        <v>44</v>
      </c>
      <c r="M210" s="21">
        <v>44</v>
      </c>
    </row>
    <row r="211" spans="11:13" x14ac:dyDescent="0.2">
      <c r="K211" s="19">
        <v>30</v>
      </c>
      <c r="L211" s="20">
        <v>43</v>
      </c>
      <c r="M211" s="21">
        <v>43</v>
      </c>
    </row>
    <row r="212" spans="11:13" x14ac:dyDescent="0.2">
      <c r="K212" s="19">
        <v>35</v>
      </c>
      <c r="L212" s="20">
        <v>45</v>
      </c>
      <c r="M212" s="21">
        <v>44</v>
      </c>
    </row>
    <row r="213" spans="11:13" x14ac:dyDescent="0.2">
      <c r="K213" s="19">
        <v>40</v>
      </c>
      <c r="L213" s="20">
        <v>44</v>
      </c>
      <c r="M213" s="21">
        <v>44</v>
      </c>
    </row>
    <row r="214" spans="11:13" x14ac:dyDescent="0.2">
      <c r="K214" s="19">
        <v>45</v>
      </c>
      <c r="L214" s="20">
        <v>46</v>
      </c>
      <c r="M214" s="21">
        <v>46</v>
      </c>
    </row>
    <row r="215" spans="11:13" x14ac:dyDescent="0.2">
      <c r="K215" s="19">
        <v>50</v>
      </c>
      <c r="L215" s="20">
        <v>46</v>
      </c>
      <c r="M215" s="21">
        <v>46</v>
      </c>
    </row>
    <row r="216" spans="11:13" x14ac:dyDescent="0.2">
      <c r="K216" s="19">
        <v>55</v>
      </c>
      <c r="L216" s="20">
        <v>46</v>
      </c>
      <c r="M216" s="21">
        <v>46</v>
      </c>
    </row>
    <row r="217" spans="11:13" x14ac:dyDescent="0.2">
      <c r="K217" s="19">
        <v>60</v>
      </c>
      <c r="L217" s="20">
        <v>46</v>
      </c>
      <c r="M217" s="21">
        <v>46</v>
      </c>
    </row>
    <row r="218" spans="11:13" x14ac:dyDescent="0.2">
      <c r="K218" s="19">
        <v>65</v>
      </c>
      <c r="L218" s="20">
        <v>47</v>
      </c>
      <c r="M218" s="21">
        <v>45</v>
      </c>
    </row>
    <row r="219" spans="11:13" x14ac:dyDescent="0.2">
      <c r="K219" s="19">
        <v>70</v>
      </c>
      <c r="L219" s="20">
        <v>48</v>
      </c>
      <c r="M219" s="21">
        <v>48</v>
      </c>
    </row>
    <row r="220" spans="11:13" x14ac:dyDescent="0.2">
      <c r="K220" s="19">
        <v>75</v>
      </c>
      <c r="L220" s="20">
        <v>47</v>
      </c>
      <c r="M220" s="21">
        <v>47</v>
      </c>
    </row>
    <row r="221" spans="11:13" x14ac:dyDescent="0.2">
      <c r="K221" s="19">
        <v>80</v>
      </c>
      <c r="L221" s="20">
        <v>48</v>
      </c>
      <c r="M221" s="21">
        <v>49</v>
      </c>
    </row>
    <row r="222" spans="11:13" x14ac:dyDescent="0.2">
      <c r="K222" s="19">
        <v>85</v>
      </c>
      <c r="L222" s="20">
        <v>48</v>
      </c>
      <c r="M222" s="21">
        <v>48</v>
      </c>
    </row>
    <row r="223" spans="11:13" x14ac:dyDescent="0.2">
      <c r="K223" s="19">
        <v>90</v>
      </c>
      <c r="L223" s="20">
        <v>49</v>
      </c>
      <c r="M223" s="21">
        <v>49</v>
      </c>
    </row>
    <row r="224" spans="11:13" x14ac:dyDescent="0.2">
      <c r="K224" s="19">
        <v>95</v>
      </c>
      <c r="L224" s="20">
        <v>49</v>
      </c>
      <c r="M224" s="21">
        <v>49</v>
      </c>
    </row>
    <row r="225" spans="11:13" x14ac:dyDescent="0.2">
      <c r="K225" s="19">
        <v>100</v>
      </c>
      <c r="L225" s="20">
        <v>48</v>
      </c>
      <c r="M225" s="21">
        <v>48</v>
      </c>
    </row>
    <row r="226" spans="11:13" x14ac:dyDescent="0.2">
      <c r="K226" s="19">
        <v>105</v>
      </c>
      <c r="L226" s="20">
        <v>47</v>
      </c>
      <c r="M226" s="21">
        <v>47</v>
      </c>
    </row>
    <row r="227" spans="11:13" x14ac:dyDescent="0.2">
      <c r="K227" s="19">
        <v>110</v>
      </c>
      <c r="L227" s="20">
        <v>47</v>
      </c>
      <c r="M227" s="21">
        <v>47</v>
      </c>
    </row>
    <row r="228" spans="11:13" x14ac:dyDescent="0.2">
      <c r="K228" s="19">
        <v>115</v>
      </c>
      <c r="L228" s="20">
        <v>48</v>
      </c>
      <c r="M228" s="21">
        <v>48</v>
      </c>
    </row>
    <row r="229" spans="11:13" x14ac:dyDescent="0.2">
      <c r="K229" s="19">
        <v>120</v>
      </c>
      <c r="L229" s="20">
        <v>47</v>
      </c>
      <c r="M229" s="21">
        <v>47</v>
      </c>
    </row>
    <row r="230" spans="11:13" x14ac:dyDescent="0.2">
      <c r="K230" s="19">
        <v>125</v>
      </c>
      <c r="L230" s="20">
        <v>47</v>
      </c>
      <c r="M230" s="21">
        <v>47</v>
      </c>
    </row>
    <row r="231" spans="11:13" x14ac:dyDescent="0.2">
      <c r="K231" s="19">
        <v>130</v>
      </c>
      <c r="L231" s="20">
        <v>44</v>
      </c>
      <c r="M231" s="21">
        <v>47</v>
      </c>
    </row>
    <row r="232" spans="11:13" x14ac:dyDescent="0.2">
      <c r="K232" s="19">
        <v>135</v>
      </c>
      <c r="L232" s="20">
        <v>46</v>
      </c>
      <c r="M232" s="21">
        <v>46</v>
      </c>
    </row>
    <row r="233" spans="11:13" x14ac:dyDescent="0.2">
      <c r="K233" s="19">
        <v>140</v>
      </c>
      <c r="L233" s="20">
        <v>46</v>
      </c>
      <c r="M233" s="21">
        <v>46</v>
      </c>
    </row>
    <row r="234" spans="11:13" x14ac:dyDescent="0.2">
      <c r="K234" s="19">
        <v>145</v>
      </c>
      <c r="L234" s="20">
        <v>45</v>
      </c>
      <c r="M234" s="21">
        <v>45</v>
      </c>
    </row>
    <row r="235" spans="11:13" x14ac:dyDescent="0.2">
      <c r="K235" s="19">
        <v>150</v>
      </c>
      <c r="L235" s="20">
        <v>45</v>
      </c>
      <c r="M235" s="21">
        <v>45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687EC33A54A409EA5AEE64BC8B541" ma:contentTypeVersion="7" ma:contentTypeDescription="Create a new document." ma:contentTypeScope="" ma:versionID="25e53fdaf136efd65d67c912ea2e6008">
  <xsd:schema xmlns:xsd="http://www.w3.org/2001/XMLSchema" xmlns:xs="http://www.w3.org/2001/XMLSchema" xmlns:p="http://schemas.microsoft.com/office/2006/metadata/properties" xmlns:ns2="f28bd323-a8bc-4479-87a5-867dae8b5e10" targetNamespace="http://schemas.microsoft.com/office/2006/metadata/properties" ma:root="true" ma:fieldsID="4c21d507e1dbefeeaed8fa7b48caa39b" ns2:_="">
    <xsd:import namespace="f28bd323-a8bc-4479-87a5-867dae8b5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bd323-a8bc-4479-87a5-867dae8b5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432394-1322-4947-94DB-881E7D5DDE9C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f28bd323-a8bc-4479-87a5-867dae8b5e10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364AD9D-8499-411D-9DBD-8FA81FA69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8bd323-a8bc-4479-87a5-867dae8b5e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A1C842-9E35-4F9B-8FFE-178CB60085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Taher, Hamza</dc:creator>
  <cp:lastModifiedBy>Taher, Hamza</cp:lastModifiedBy>
  <dcterms:created xsi:type="dcterms:W3CDTF">2026-02-25T13:12:17Z</dcterms:created>
  <dcterms:modified xsi:type="dcterms:W3CDTF">2026-03-13T01:29:59Z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0x010100D20687EC33A54A409EA5AEE64BC8B541</vt:lpwstr>
  </property>
</Properties>
</file>